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931f5dd79842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ções" sheetId="1" r:id="R7fb03c3fc4b74716"/>
    <x:sheet xmlns:r="http://schemas.openxmlformats.org/officeDocument/2006/relationships" name="Matriz Analítica" sheetId="2" r:id="R53ca41d96e43404e"/>
    <x:sheet xmlns:r="http://schemas.openxmlformats.org/officeDocument/2006/relationships" name="Cruzamento" sheetId="3" r:id="R6342b082aa1c4f01"/>
    <x:sheet xmlns:r="http://schemas.openxmlformats.org/officeDocument/2006/relationships" name="Verificação" sheetId="4" r:id="R57c13c59cf5d4a81"/>
  </x:sheets>
</x:workbook>
</file>

<file path=xl/sharedStrings.xml><?xml version="1.0" encoding="utf-8"?>
<x:sst xmlns:x="http://schemas.openxmlformats.org/spreadsheetml/2006/main">
  <x:si>
    <x:t xml:space="preserve">MATRIZ DE REFERÊNCIAS</x:t>
  </x:si>
  <x:si>
    <x:t xml:space="preserve">Como usar</x:t>
  </x:si>
  <x:si>
    <x:t xml:space="preserve">Aba «Matriz Analítica»</x:t>
  </x:si>
  <x:si>
    <x:t xml:space="preserve">Uma linha por referência lida. A linha 2 é um EXEMPLO preenchido — não apague, use de modelo. Preencha a partir da linha 3.</x:t>
  </x:si>
  <x:si>
    <x:t xml:space="preserve">Aba «Cruzamento»</x:t>
  </x:si>
  <x:si>
    <x:t xml:space="preserve">Renomeie os cabeçalhos «Conceito 1…8» com os conceitos-chave do seu tema e marque X onde a referência cobre o conceito. A coluna de referência é preenchida automaticamente.</x:t>
  </x:si>
  <x:si>
    <x:t xml:space="preserve">Aba «Verificação»</x:t>
  </x:si>
  <x:si>
    <x:t xml:space="preserve">Confere sozinha se o acervo atende aos mínimos exigidos. Confira antes de entregar.</x:t>
  </x:si>
  <x:si>
    <x:t xml:space="preserve">Entrega</x:t>
  </x:si>
  <x:si>
    <x:t xml:space="preserve">Este arquivo em .xlsx MAIS a matriz exportada em PDF como anexo do artigo parcial.</x:t>
  </x:si>
  <x:si>
    <x:t xml:space="preserve">Requisitos mínimos do acervo</x:t>
  </x:si>
  <x:si>
    <x:t xml:space="preserve">•</x:t>
  </x:si>
  <x:si>
    <x:t xml:space="preserve">10 referências no total.</x:t>
  </x:si>
  <x:si>
    <x:t xml:space="preserve">Pelo menos 5 artigos científicos revisados por pares (periódico ou conferência).</x:t>
  </x:si>
  <x:si>
    <x:t xml:space="preserve">Pelo menos 2 publicações dos últimos 5 anos.</x:t>
  </x:si>
  <x:si>
    <x:t xml:space="preserve">Pelo menos 1 artigo seminal / clássico do eixo escolhido.</x:t>
  </x:si>
  <x:si>
    <x:t xml:space="preserve">Livros-texto (CLRS, Kleinberg &amp; Tardos, Sedgewick, Vazirani, Garey &amp; Johnson etc.): no máximo 3 das 10.</x:t>
  </x:si>
  <x:si>
    <x:t xml:space="preserve">Blogs, vídeos, fóruns e saídas de IA generativa não entram na cota (podem ser citados fora dela).</x:t>
  </x:si>
  <x:si>
    <x:t xml:space="preserve">Toda referência listada precisa ter sido efetivamente lida e ser localizável. Referência fabricada anula o entregável.</x:t>
  </x:si>
  <x:si>
    <x:t xml:space="preserve">Onde buscar</x:t>
  </x:si>
  <x:si>
    <x:t xml:space="preserve">Portal de Periódicos CAPES · ACM Digital Library · IEEE Xplore · SpringerLink · DBLP · Google Scholar · arXiv (cs.DS) · Biblioteca Digital da SBC (SOL)</x:t>
  </x:si>
  <x:si>
    <x:t xml:space="preserve">Legenda de cores</x:t>
  </x:si>
  <x:si>
    <x:t xml:space="preserve">Cabeçalho de coluna — não alterar.</x:t>
  </x:si>
  <x:si>
    <x:t xml:space="preserve">Linha de exemplo — não alterar.</x:t>
  </x:si>
  <x:si>
    <x:t xml:space="preserve">Célula branca — é o que vocês preenchem.</x:t>
  </x:si>
  <x:si>
    <x:t xml:space="preserve">Célula com fórmula — preenchimento automático, não digitar.</x:t>
  </x:si>
  <x:si>
    <x:t xml:space="preserve">ID</x:t>
  </x:si>
  <x:si>
    <x:t xml:space="preserve">Tipo</x:t>
  </x:si>
  <x:si>
    <x:t xml:space="preserve">Veículo (periódico ou evento)</x:t>
  </x:si>
  <x:si>
    <x:t xml:space="preserve">Ano</x:t>
  </x:si>
  <x:si>
    <x:t xml:space="preserve">Qualificação (Qualis / JCR / conferência)</x:t>
  </x:si>
  <x:si>
    <x:t xml:space="preserve">Eixo da ementa</x:t>
  </x:si>
  <x:si>
    <x:t xml:space="preserve">Problema abordado (entrada → saída)</x:t>
  </x:si>
  <x:si>
    <x:t xml:space="preserve">Paradigma / técnica</x:t>
  </x:si>
  <x:si>
    <x:t xml:space="preserve">Complexidade, fator de aproximação ou classe/redução</x:t>
  </x:si>
  <x:si>
    <x:t xml:space="preserve">Tipo de validação</x:t>
  </x:si>
  <x:si>
    <x:t xml:space="preserve">Principais resultados (com suas palavras)</x:t>
  </x:si>
  <x:si>
    <x:t xml:space="preserve">Limitações e lacunas</x:t>
  </x:si>
  <x:si>
    <x:t xml:space="preserve">Uso no nosso artigo (seção e finalidade)</x:t>
  </x:si>
  <x:si>
    <x:t xml:space="preserve">Nível de leitura</x:t>
  </x:si>
  <x:si>
    <x:t xml:space="preserve">EX</x:t>
  </x:si>
  <x:si>
    <x:t xml:space="preserve">CHVÁTAL, V. A greedy heuristic for the set-covering problem. Mathematics of Operations Research, v. 4, n. 3, p. 233-235, 1979.</x:t>
  </x:si>
  <x:si>
    <x:t xml:space="preserve">Artigo de periódico</x:t>
  </x:si>
  <x:si>
    <x:t xml:space="preserve">Mathematics of Operations Research</x:t>
  </x:si>
  <x:si>
    <x:t xml:space="preserve">Periódico A1 (Pesquisa Operacional)</x:t>
  </x:si>
  <x:si>
    <x:t xml:space="preserve">E5 / E7</x:t>
  </x:si>
  <x:si>
    <x:t xml:space="preserve">Dado um universo de elementos e uma família de subconjuntos com custos, escolher a subfamília de custo mínimo que cobre todos os elementos.</x:t>
  </x:si>
  <x:si>
    <x:t xml:space="preserve">Guloso com análise de razão de aproximação</x:t>
  </x:si>
  <x:si>
    <x:t xml:space="preserve">Tempo polinomial; razão de aproximação H(n) ≈ ln n</x:t>
  </x:si>
  <x:si>
    <x:t xml:space="preserve">Prova formal</x:t>
  </x:si>
  <x:si>
    <x:t xml:space="preserve">A escolha gulosa por melhor custo-benefício garante solução no máximo H(n) vezes pior que a ótima, e esse limite é essencialmente justo.</x:t>
  </x:si>
  <x:si>
    <x:t xml:space="preserve">Não trata variantes com restrição de capacidade; não apresenta avaliação experimental em instâncias reais.</x:t>
  </x:si>
  <x:si>
    <x:t xml:space="preserve">Seção 2.3 (garantia teórica) e Seção 3 (baseline de comparação).</x:t>
  </x:si>
  <x:si>
    <x:t xml:space="preserve">Integral</x:t>
  </x:si>
  <x:si>
    <x:t xml:space="preserve">R01</x:t>
  </x:si>
  <x:si>
    <x:t xml:space="preserve">R02</x:t>
  </x:si>
  <x:si>
    <x:t xml:space="preserve">R03</x:t>
  </x:si>
  <x:si>
    <x:t xml:space="preserve">R04</x:t>
  </x:si>
  <x:si>
    <x:t xml:space="preserve">R05</x:t>
  </x:si>
  <x:si>
    <x:t xml:space="preserve">R06</x:t>
  </x:si>
  <x:si>
    <x:t xml:space="preserve">R07</x:t>
  </x:si>
  <x:si>
    <x:t xml:space="preserve">R08</x:t>
  </x:si>
  <x:si>
    <x:t xml:space="preserve">R09</x:t>
  </x:si>
  <x:si>
    <x:t xml:space="preserve">R10</x:t>
  </x:si>
  <x:si>
    <x:t xml:space="preserve">R11</x:t>
  </x:si>
  <x:si>
    <x:t xml:space="preserve">R12</x:t>
  </x:si>
  <x:si>
    <x:t xml:space="preserve">R13</x:t>
  </x:si>
  <x:si>
    <x:t xml:space="preserve">R14</x:t>
  </x:si>
  <x:si>
    <x:t xml:space="preserve">R15</x:t>
  </x:si>
  <x:si>
    <x:t xml:space="preserve">R16</x:t>
  </x:si>
  <x:si>
    <x:t xml:space="preserve">R17</x:t>
  </x:si>
  <x:si>
    <x:t xml:space="preserve">R18</x:t>
  </x:si>
  <x:si>
    <x:t xml:space="preserve">R19</x:t>
  </x:si>
  <x:si>
    <x:t xml:space="preserve">R20</x:t>
  </x:si>
  <x:si>
    <x:t xml:space="preserve">MATRIZ DE CRUZAMENTO — conceito × referência</x:t>
  </x:si>
  <x:si>
    <x:t xml:space="preserve">Renomeie os cabeçalhos «Conceito 1…8» com os conceitos-chave do seu tema (ex.: limite inferior, recorrência, prova de corretude, instâncias reais, heurística, garantia de desempenho). Marque X onde a referência cobre o conceito.</x:t>
  </x:si>
  <x:si>
    <x:t xml:space="preserve">Referência (automática)</x:t>
  </x:si>
  <x:si>
    <x:t xml:space="preserve">Cobertura (nº de referências por conceito)</x:t>
  </x:si>
  <x:si>
    <x:t xml:space="preserve">Análise da lacuna</x:t>
  </x:si>
  <x:si>
    <x:t xml:space="preserve">Escreva de 5 a 8 linhas: qual conceito ficou com cobertura vazia ou fraca na linha «Cobertura» acima, e como o artigo do grupo vai tratar essa lacuna? Este parágrafo é a base da justificativa da Introdução.</x:t>
  </x:si>
  <x:si>
    <x:t xml:space="preserve">VERIFICAÇÃO AUTOMÁTICA DO ACERVO</x:t>
  </x:si>
  <x:si>
    <x:t xml:space="preserve">Confira esta aba antes de entregar. As colunas verdes são calculadas sozinhas.</x:t>
  </x:si>
  <x:si>
    <x:t xml:space="preserve">Ano-limite para «publicação recente» (últimos 5 anos):</x:t>
  </x:si>
  <x:si>
    <x:t xml:space="preserve">Ajuste conforme o ano letivo.</x:t>
  </x:si>
  <x:si>
    <x:t xml:space="preserve">Critério</x:t>
  </x:si>
  <x:si>
    <x:t xml:space="preserve">Exigido</x:t>
  </x:si>
  <x:si>
    <x:t xml:space="preserve">Atual</x:t>
  </x:si>
  <x:si>
    <x:t xml:space="preserve">Situação</x:t>
  </x:si>
  <x:si>
    <x:t xml:space="preserve">Total de referências</x:t>
  </x:si>
  <x:si>
    <x:t xml:space="preserve">Artigos revisados por pares (periódico ou conferência)</x:t>
  </x:si>
  <x:si>
    <x:t xml:space="preserve">Publicações dos últimos 5 anos</x:t>
  </x:si>
  <x:si>
    <x:t xml:space="preserve">Livros e capítulos de livro (limite máximo)</x:t>
  </x:si>
  <x:si>
    <x:t xml:space="preserve">Referências com complexidade/garantia preenchida</x:t>
  </x:si>
  <x:si>
    <x:t xml:space="preserve">Referências com uso no artigo definido</x:t>
  </x:si>
  <x:si>
    <x:t xml:space="preserve">Referências lidas na íntegra</x:t>
  </x:si>
  <x:si>
    <x:t xml:space="preserve">Lembretes finais</x:t>
  </x:si>
  <x:si>
    <x:t xml:space="preserve">• Exportar também em PDF e anexar ao artigo parcial.</x:t>
  </x:si>
  <x:si>
    <x:t xml:space="preserve">• Cada referência da matriz precisa aparecer citada no texto do artigo.</x:t>
  </x:si>
  <x:si>
    <x:t xml:space="preserve">• Preencher a análise da lacuna na aba «Cruzamento» — ela vale nota.</x:t>
  </x:si>
</x:sst>
</file>

<file path=xl/styles.xml><?xml version="1.0" encoding="utf-8"?>
<x:styleSheet xmlns:x="http://schemas.openxmlformats.org/spreadsheetml/2006/main">
  <x:fonts count="11">
    <x:font>
      <x:sz val="11"/>
      <x:color theme="1"/>
      <x:name val="Calibri"/>
      <x:scheme val="minor"/>
    </x:font>
    <x:font>
      <x:b/>
      <x:sz val="14"/>
      <x:color rgb="FF1F3864"/>
      <x:name val="Arial"/>
    </x:font>
    <x:font>
      <x:i/>
      <x:sz val="9"/>
      <x:color theme="1"/>
      <x:name val="Arial"/>
    </x:font>
    <x:font>
      <x:b/>
      <x:sz val="10"/>
      <x:color rgb="FFFFFFFF"/>
      <x:name val="Arial"/>
    </x:font>
    <x:font>
      <x:b/>
      <x:sz val="11"/>
      <x:color rgb="FF1F3864"/>
      <x:name val="Arial"/>
    </x:font>
    <x:font>
      <x:b/>
      <x:sz val="10"/>
      <x:color theme="1"/>
      <x:name val="Arial"/>
    </x:font>
    <x:font>
      <x:sz val="10"/>
      <x:color theme="1"/>
      <x:name val="Arial"/>
    </x:font>
    <x:font>
      <x:i/>
      <x:sz val="9"/>
      <x:color rgb="FF595959"/>
      <x:name val="Arial"/>
    </x:font>
    <x:font>
      <x:b/>
      <x:sz val="10"/>
      <x:color rgb="FF0000FF"/>
      <x:name val="Arial"/>
    </x:font>
    <x:font>
      <x:sz val="9"/>
      <x:color theme="1"/>
      <x:name val="Arial"/>
    </x:font>
    <x:font/>
  </x:fonts>
  <x:fills count="9">
    <x:fill>
      <x:patternFill patternType="none"/>
    </x:fill>
    <x:fill>
      <x:patternFill patternType="lightGray"/>
    </x:fill>
    <x:fill>
      <x:patternFill patternType="solid">
        <x:fgColor rgb="FF1F3864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D9E2F3"/>
      </x:patternFill>
    </x:fill>
    <x:fill>
      <x:patternFill patternType="solid">
        <x:fgColor rgb="FFFFFFFF"/>
      </x:patternFill>
    </x:fill>
    <x:fill>
      <x:patternFill patternType="solid">
        <x:fgColor rgb="FFE2EFDA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/>
      <x:top style="thin">
        <x:color rgb="FFBFBFBF"/>
      </x:top>
    </x:border>
    <x:border>
      <x:left style="thin">
        <x:color rgb="FFBFBFBF"/>
      </x:left>
    </x:border>
    <x:border>
      <x:right/>
    </x:border>
    <x:border>
      <x:left style="thin">
        <x:color rgb="FFBFBFBF"/>
      </x:left>
      <x:bottom/>
    </x:border>
    <x:border>
      <x:bottom/>
    </x:border>
    <x:border>
      <x:right/>
      <x:bottom/>
    </x:border>
  </x:borders>
  <x:cellStyleXfs count="1">
    <x:xf numFmtId="0" fontId="0" fillId="0" borderId="0" applyFont="1" applyAlignment="1"/>
  </x:cellStyleXfs>
  <x:cellXfs count="53">
    <x:xf numFmtId="0" fontId="0" fillId="0" borderId="0" xfId="0" applyFont="1" applyAlignment="1">
      <x:alignment vertical="bottom" wrapText="0" shrinkToFit="0"/>
    </x:xf>
    <x:xf numFmtId="0" fontId="1" fillId="0" borderId="0" xfId="0" applyFont="1" applyAlignment="1">
      <x:alignment vertical="top" wrapText="1" shrinkToFit="0"/>
    </x:xf>
    <x:xf numFmtId="0" fontId="2" fillId="0" borderId="0" xfId="0" applyFont="1" applyAlignment="1">
      <x:alignment vertical="top" wrapText="1" shrinkToFit="0"/>
    </x:xf>
    <x:xf numFmtId="0" fontId="3" fillId="2" borderId="1" xfId="0" applyFont="1" applyFill="1" applyBorder="1" applyAlignment="1">
      <x:alignment horizontal="center" vertical="center" wrapText="1" shrinkToFit="0"/>
    </x:xf>
    <x:xf numFmtId="0" fontId="4" fillId="0" borderId="0" xfId="0" applyFont="1" applyAlignment="1">
      <x:alignment vertical="top" wrapText="1" shrinkToFit="0"/>
    </x:xf>
    <x:xf numFmtId="0" fontId="1" fillId="0" borderId="0" xfId="0" applyFont="1" applyAlignment="1">
      <x:alignment vertical="bottom" wrapText="0" shrinkToFit="0"/>
    </x:xf>
    <x:xf numFmtId="0" fontId="5" fillId="0" borderId="0" xfId="0" applyFont="1" applyAlignment="1">
      <x:alignment vertical="top" wrapText="1" shrinkToFit="0"/>
    </x:xf>
    <x:xf numFmtId="0" fontId="6" fillId="0" borderId="0" xfId="0" applyFont="1" applyAlignment="1">
      <x:alignment vertical="top" wrapText="1" shrinkToFit="0"/>
    </x:xf>
    <x:xf numFmtId="0" fontId="2" fillId="0" borderId="0" xfId="0" applyFont="1" applyAlignment="1">
      <x:alignment vertical="bottom" wrapText="0" shrinkToFit="0"/>
    </x:xf>
    <x:xf numFmtId="0" fontId="6" fillId="0" borderId="0" xfId="0" applyFont="1" applyAlignment="1">
      <x:alignment vertical="bottom" wrapText="0" shrinkToFit="0"/>
    </x:xf>
    <x:xf numFmtId="0" fontId="7" fillId="3" borderId="1" xfId="0" applyFont="1" applyFill="1" applyBorder="1" applyAlignment="1">
      <x:alignment vertical="top" wrapText="1" shrinkToFit="0"/>
    </x:xf>
    <x:xf numFmtId="0" fontId="8" fillId="4" borderId="1" xfId="0" applyFont="1" applyFill="1" applyBorder="1" applyAlignment="1">
      <x:alignment horizontal="center" vertical="center" wrapText="1" shrinkToFit="0"/>
    </x:xf>
    <x:xf numFmtId="0" fontId="6" fillId="5" borderId="1" xfId="0" applyFont="1" applyFill="1" applyBorder="1" applyAlignment="1">
      <x:alignment vertical="top" wrapText="1" shrinkToFit="0"/>
    </x:xf>
    <x:xf numFmtId="0" fontId="5" fillId="0" borderId="1" xfId="0" applyFont="1" applyBorder="1" applyAlignment="1">
      <x:alignment vertical="top" wrapText="1" shrinkToFit="0"/>
    </x:xf>
    <x:xf numFmtId="0" fontId="6" fillId="3" borderId="1" xfId="0" applyFont="1" applyFill="1" applyBorder="1" applyAlignment="1">
      <x:alignment vertical="top" wrapText="1" shrinkToFit="0"/>
    </x:xf>
    <x:xf numFmtId="0" fontId="6" fillId="0" borderId="1" xfId="0" applyFont="1" applyBorder="1" applyAlignment="1">
      <x:alignment vertical="top" wrapText="1" shrinkToFit="0"/>
    </x:xf>
    <x:xf numFmtId="0" fontId="6" fillId="6" borderId="1" xfId="0" applyFont="1" applyFill="1" applyBorder="1" applyAlignment="1">
      <x:alignment vertical="top" wrapText="1" shrinkToFit="0"/>
    </x:xf>
    <x:xf numFmtId="0" fontId="5" fillId="0" borderId="1" xfId="0" applyFont="1" applyBorder="1" applyAlignment="1">
      <x:alignment horizontal="center" vertical="center" wrapText="1" shrinkToFit="0"/>
    </x:xf>
    <x:xf numFmtId="0" fontId="6" fillId="0" borderId="1" xfId="0" applyFont="1" applyBorder="1" applyAlignment="1">
      <x:alignment horizontal="center" vertical="center" wrapText="1" shrinkToFit="0"/>
    </x:xf>
    <x:xf numFmtId="0" fontId="6" fillId="7" borderId="1" xfId="0" applyFont="1" applyFill="1" applyBorder="1" applyAlignment="1">
      <x:alignment vertical="top" wrapText="1" shrinkToFit="0"/>
    </x:xf>
    <x:xf numFmtId="0" fontId="5" fillId="7" borderId="1" xfId="0" applyFont="1" applyFill="1" applyBorder="1" applyAlignment="1">
      <x:alignment horizontal="center" vertical="center" wrapText="1" shrinkToFit="0"/>
    </x:xf>
    <x:xf numFmtId="0" fontId="9" fillId="7" borderId="1" xfId="0" applyFont="1" applyFill="1" applyBorder="1" applyAlignment="1">
      <x:alignment vertical="top" wrapText="1" shrinkToFit="0"/>
    </x:xf>
    <x:xf numFmtId="0" fontId="4" fillId="0" borderId="0" xfId="0" applyFont="1" applyAlignment="1">
      <x:alignment vertical="bottom" wrapText="0" shrinkToFit="0"/>
    </x:xf>
    <x:xf numFmtId="0" fontId="5" fillId="0" borderId="0" xfId="0" applyFont="1" applyAlignment="1">
      <x:alignment horizontal="right" vertical="center" wrapText="0" shrinkToFit="0"/>
    </x:xf>
    <x:xf numFmtId="0" fontId="6" fillId="4" borderId="2" xfId="0" applyFont="1" applyFill="1" applyBorder="1" applyAlignment="1">
      <x:alignment vertical="top" wrapText="1" shrinkToFit="0"/>
    </x:xf>
    <x:xf numFmtId="0" fontId="10" fillId="0" borderId="3" xfId="0" applyFont="1" applyBorder="1"/>
    <x:xf numFmtId="0" fontId="10" fillId="0" borderId="4" xfId="0" applyFont="1" applyBorder="1"/>
    <x:xf numFmtId="0" fontId="10" fillId="0" borderId="5" xfId="0" applyFont="1" applyBorder="1"/>
    <x:xf numFmtId="0" fontId="10" fillId="0" borderId="6" xfId="0" applyFont="1" applyBorder="1"/>
    <x:xf numFmtId="0" fontId="10" fillId="0" borderId="7" xfId="0" applyFont="1" applyBorder="1"/>
    <x:xf numFmtId="0" fontId="10" fillId="0" borderId="8" xfId="0" applyFont="1" applyBorder="1"/>
    <x:xf numFmtId="0" fontId="10" fillId="0" borderId="9" xfId="0" applyFont="1" applyBorder="1"/>
    <x:xf numFmtId="0" fontId="6" fillId="0" borderId="1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vertical="top" wrapText="1"/>
    </x:xf>
    <x:xf numFmtId="0" fontId="10" fillId="0" borderId="3" xfId="0" applyNumberFormat="1" applyFont="1" applyFill="1" applyBorder="1" applyAlignment="1">
      <x:alignment wrapText="1"/>
    </x:xf>
    <x:xf numFmtId="0" fontId="10" fillId="0" borderId="4" xfId="0" applyNumberFormat="1" applyFont="1" applyFill="1" applyBorder="1" applyAlignment="1">
      <x:alignment wrapText="1"/>
    </x:xf>
    <x:xf numFmtId="0" fontId="1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bottom" wrapText="1"/>
    </x:xf>
    <x:xf numFmtId="0" fontId="10" fillId="0" borderId="6" xfId="0" applyNumberFormat="1" applyFont="1" applyFill="1" applyBorder="1" applyAlignment="1">
      <x:alignment wrapText="1"/>
    </x:xf>
    <x:xf numFmtId="0" fontId="10" fillId="0" borderId="7" xfId="0" applyNumberFormat="1" applyFont="1" applyFill="1" applyBorder="1" applyAlignment="1">
      <x:alignment wrapText="1"/>
    </x:xf>
    <x:xf numFmtId="0" fontId="10" fillId="0" borderId="8" xfId="0" applyNumberFormat="1" applyFont="1" applyFill="1" applyBorder="1" applyAlignment="1">
      <x:alignment wrapText="1"/>
    </x:xf>
    <x:xf numFmtId="0" fontId="10" fillId="0" borderId="9" xfId="0" applyNumberFormat="1" applyFont="1" applyFill="1" applyBorder="1" applyAlignment="1">
      <x:alignment wrapText="1"/>
    </x:xf>
    <x:xf numFmtId="0" fontId="10" fillId="0" borderId="3" xfId="0" applyNumberFormat="1" applyFont="1" applyFill="1" applyBorder="1" applyAlignment="1">
      <x:alignment vertical="top" wrapText="1"/>
    </x:xf>
    <x:xf numFmtId="0" fontId="10" fillId="0" borderId="4" xfId="0" applyNumberFormat="1" applyFont="1" applyFill="1" applyBorder="1" applyAlignment="1">
      <x:alignment vertical="top" wrapText="1"/>
    </x:xf>
    <x:xf numFmtId="0" fontId="1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0" fillId="0" borderId="6" xfId="0" applyNumberFormat="1" applyFont="1" applyFill="1" applyBorder="1" applyAlignment="1">
      <x:alignment vertical="top" wrapText="1"/>
    </x:xf>
    <x:xf numFmtId="0" fontId="10" fillId="0" borderId="7" xfId="0" applyNumberFormat="1" applyFont="1" applyFill="1" applyBorder="1" applyAlignment="1">
      <x:alignment vertical="top" wrapText="1"/>
    </x:xf>
    <x:xf numFmtId="0" fontId="10" fillId="0" borderId="8" xfId="0" applyNumberFormat="1" applyFont="1" applyFill="1" applyBorder="1" applyAlignment="1">
      <x:alignment vertical="top" wrapText="1"/>
    </x:xf>
    <x:xf numFmtId="0" fontId="10" fillId="0" borderId="9" xfId="0" applyNumberFormat="1" applyFont="1" applyFill="1" applyBorder="1" applyAlignment="1">
      <x:alignment vertical="top" wrapText="1"/>
    </x:xf>
    <x:xf numFmtId="0" fontId="9" fillId="7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831d8e72ce4a26" /><Relationship Type="http://schemas.openxmlformats.org/officeDocument/2006/relationships/theme" Target="/xl/theme/theme1.xml" Id="R4870c61005f747ad" /><Relationship Type="http://schemas.openxmlformats.org/officeDocument/2006/relationships/sharedStrings" Target="/xl/sharedStrings.xml" Id="R220416e8807445d9" /><Relationship Type="http://schemas.openxmlformats.org/officeDocument/2006/relationships/worksheet" Target="/xl/worksheets/sheet1.xml" Id="R7fb03c3fc4b74716" /><Relationship Type="http://schemas.openxmlformats.org/officeDocument/2006/relationships/worksheet" Target="/xl/worksheets/sheet2.xml" Id="R53ca41d96e43404e" /><Relationship Type="http://schemas.openxmlformats.org/officeDocument/2006/relationships/worksheet" Target="/xl/worksheets/sheet3.xml" Id="R6342b082aa1c4f01" /><Relationship Type="http://schemas.openxmlformats.org/officeDocument/2006/relationships/worksheet" Target="/xl/worksheets/sheet4.xml" Id="R57c13c59cf5d4a8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3" customWidth="1"/>
    <x:col min="2" max="2" width="26" customWidth="1"/>
    <x:col min="3" max="3" width="95" customWidth="1"/>
    <x:col min="4" max="26" width="8.710000038146973" customWidth="1"/>
  </x:cols>
  <x:sheetData>
    <x:row r="2">
      <x:c r="B2" s="1" t="s">
        <x:v>0</x:v>
      </x:c>
    </x:row>
    <x:row r="3">
      <x:c r="B3" s="2"/>
    </x:row>
    <x:row r="5">
      <x:c r="B5" s="4" t="s">
        <x:v>1</x:v>
      </x:c>
    </x:row>
    <x:row r="6" ht="30" customHeight="1">
      <x:c r="B6" s="6" t="s">
        <x:v>2</x:v>
      </x:c>
      <x:c r="C6" s="7" t="s">
        <x:v>3</x:v>
      </x:c>
    </x:row>
    <x:row r="7" ht="30" customHeight="1">
      <x:c r="B7" s="6" t="s">
        <x:v>4</x:v>
      </x:c>
      <x:c r="C7" s="7" t="s">
        <x:v>5</x:v>
      </x:c>
    </x:row>
    <x:row r="8" ht="30" customHeight="1">
      <x:c r="B8" s="6" t="s">
        <x:v>6</x:v>
      </x:c>
      <x:c r="C8" s="7" t="s">
        <x:v>7</x:v>
      </x:c>
    </x:row>
    <x:row r="9" ht="30" customHeight="1">
      <x:c r="B9" s="6" t="s">
        <x:v>8</x:v>
      </x:c>
      <x:c r="C9" s="7" t="s">
        <x:v>9</x:v>
      </x:c>
    </x:row>
    <x:row r="11">
      <x:c r="B11" s="4" t="s">
        <x:v>10</x:v>
      </x:c>
    </x:row>
    <x:row r="12">
      <x:c r="B12" s="6" t="s">
        <x:v>11</x:v>
      </x:c>
      <x:c r="C12" s="7" t="s">
        <x:v>12</x:v>
      </x:c>
    </x:row>
    <x:row r="13">
      <x:c r="B13" s="6" t="s">
        <x:v>11</x:v>
      </x:c>
      <x:c r="C13" s="7" t="s">
        <x:v>13</x:v>
      </x:c>
    </x:row>
    <x:row r="14">
      <x:c r="B14" s="6" t="s">
        <x:v>11</x:v>
      </x:c>
      <x:c r="C14" s="7" t="s">
        <x:v>14</x:v>
      </x:c>
    </x:row>
    <x:row r="15">
      <x:c r="B15" s="6" t="s">
        <x:v>11</x:v>
      </x:c>
      <x:c r="C15" s="7" t="s">
        <x:v>15</x:v>
      </x:c>
    </x:row>
    <x:row r="16">
      <x:c r="B16" s="6" t="s">
        <x:v>11</x:v>
      </x:c>
      <x:c r="C16" s="7" t="s">
        <x:v>16</x:v>
      </x:c>
    </x:row>
    <x:row r="17">
      <x:c r="B17" s="6" t="s">
        <x:v>11</x:v>
      </x:c>
      <x:c r="C17" s="7" t="s">
        <x:v>17</x:v>
      </x:c>
    </x:row>
    <x:row r="18">
      <x:c r="B18" s="6" t="s">
        <x:v>11</x:v>
      </x:c>
      <x:c r="C18" s="7" t="s">
        <x:v>18</x:v>
      </x:c>
    </x:row>
    <x:row r="20">
      <x:c r="B20" s="4" t="s">
        <x:v>19</x:v>
      </x:c>
    </x:row>
    <x:row r="21" ht="15.75" customHeight="1">
      <x:c r="C21" s="7" t="s">
        <x:v>20</x:v>
      </x:c>
    </x:row>
    <x:row r="22" ht="15.75" customHeight="1"/>
    <x:row r="23" ht="15.75" customHeight="1">
      <x:c r="B23" s="4" t="s">
        <x:v>21</x:v>
      </x:c>
    </x:row>
    <x:row r="24" ht="15.75" customHeight="1">
      <x:c r="B24" s="12"/>
      <x:c r="C24" s="7" t="s">
        <x:v>22</x:v>
      </x:c>
    </x:row>
    <x:row r="25" ht="15.75" customHeight="1">
      <x:c r="B25" s="14"/>
      <x:c r="C25" s="7" t="s">
        <x:v>23</x:v>
      </x:c>
    </x:row>
    <x:row r="26" ht="15.75" customHeight="1">
      <x:c r="B26" s="16"/>
      <x:c r="C26" s="7" t="s">
        <x:v>24</x:v>
      </x:c>
    </x:row>
    <x:row r="27" ht="15.75" customHeight="1">
      <x:c r="B27" s="19"/>
      <x:c r="C27" s="7" t="s">
        <x:v>25</x:v>
      </x:c>
    </x:row>
    <x:row r="28" ht="15.75" customHeight="1"/>
    <x:row r="29" ht="110" customHeight="1">
      <x:c r="B29" t="str">
        <x:v>Nota desta versão</x:v>
      </x:c>
      <x:c r="C29" s="37" t="str">
        <x:v>O PDF do projeto exige SBC; prevalece sobre o rótulo ABNT do modelo. A linha EX é preservada como exemplo, fora das contagens. Os níveis descrevem a consulta na preparação assistida, não comprovam leitura pessoal dos estudantes. Antes da entrega, os autores devem ler, validar e atualizar os níveis. O acervo principal contém 12 artigos. R13 fica somente na lista complementar de links, pois os capítulos não foram lidos. Nenhum Qualis/JCR foi inferido.</x:v>
      </x:c>
    </x:row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2" topLeftCell="B3" activePane="bottomRight" state="frozen"/>
    </x:sheetView>
  </x:sheetViews>
  <x:sheetFormatPr defaultColWidth="14.430000305175781" defaultRowHeight="15"/>
  <x:cols>
    <x:col min="1" max="1" width="7" customWidth="1"/>
    <x:col min="2" max="2" width="52" customWidth="1"/>
    <x:col min="3" max="3" width="20" customWidth="1"/>
    <x:col min="4" max="4" width="26" customWidth="1"/>
    <x:col min="5" max="5" width="7" customWidth="1"/>
    <x:col min="6" max="6" width="20" customWidth="1"/>
    <x:col min="7" max="7" width="14" customWidth="1"/>
    <x:col min="8" max="8" width="34" customWidth="1"/>
    <x:col min="9" max="9" width="22" customWidth="1"/>
    <x:col min="10" max="10" width="30" customWidth="1"/>
    <x:col min="11" max="11" width="20" customWidth="1"/>
    <x:col min="12" max="12" width="34" customWidth="1"/>
    <x:col min="13" max="13" width="30" customWidth="1"/>
    <x:col min="14" max="14" width="28" customWidth="1"/>
    <x:col min="15" max="15" width="15" customWidth="1"/>
    <x:col min="16" max="26" width="8.710000038146973" customWidth="1"/>
  </x:cols>
  <x:sheetData>
    <x:row r="1" ht="42" customHeight="1">
      <x:c r="A1" s="3" t="s">
        <x:v>26</x:v>
      </x:c>
      <x:c r="B1" s="3" t="str">
        <x:v>Referência completa (SBC)</x:v>
      </x:c>
      <x:c r="C1" s="3" t="s">
        <x:v>27</x:v>
      </x:c>
      <x:c r="D1" s="3" t="s">
        <x:v>28</x:v>
      </x:c>
      <x:c r="E1" s="3" t="s">
        <x:v>29</x:v>
      </x:c>
      <x:c r="F1" s="3" t="s">
        <x:v>30</x:v>
      </x:c>
      <x:c r="G1" s="3" t="s">
        <x:v>31</x:v>
      </x:c>
      <x:c r="H1" s="3" t="s">
        <x:v>32</x:v>
      </x:c>
      <x:c r="I1" s="3" t="s">
        <x:v>33</x:v>
      </x:c>
      <x:c r="J1" s="3" t="s">
        <x:v>34</x:v>
      </x:c>
      <x:c r="K1" s="3" t="s">
        <x:v>35</x:v>
      </x:c>
      <x:c r="L1" s="3" t="s">
        <x:v>36</x:v>
      </x:c>
      <x:c r="M1" s="3" t="s">
        <x:v>37</x:v>
      </x:c>
      <x:c r="N1" s="3" t="s">
        <x:v>38</x:v>
      </x:c>
      <x:c r="O1" s="3" t="s">
        <x:v>39</x:v>
      </x:c>
    </x:row>
    <x:row r="2" ht="69.75" customHeight="1">
      <x:c r="A2" s="10" t="s">
        <x:v>40</x:v>
      </x:c>
      <x:c r="B2" s="10" t="s">
        <x:v>41</x:v>
      </x:c>
      <x:c r="C2" s="10" t="s">
        <x:v>42</x:v>
      </x:c>
      <x:c r="D2" s="10" t="s">
        <x:v>43</x:v>
      </x:c>
      <x:c r="E2" s="10">
        <x:v>1979.0</x:v>
      </x:c>
      <x:c r="F2" s="10" t="s">
        <x:v>44</x:v>
      </x:c>
      <x:c r="G2" s="10" t="s">
        <x:v>45</x:v>
      </x:c>
      <x:c r="H2" s="10" t="s">
        <x:v>46</x:v>
      </x:c>
      <x:c r="I2" s="10" t="s">
        <x:v>47</x:v>
      </x:c>
      <x:c r="J2" s="10" t="s">
        <x:v>48</x:v>
      </x:c>
      <x:c r="K2" s="10" t="s">
        <x:v>49</x:v>
      </x:c>
      <x:c r="L2" s="10" t="s">
        <x:v>50</x:v>
      </x:c>
      <x:c r="M2" s="10" t="s">
        <x:v>51</x:v>
      </x:c>
      <x:c r="N2" s="10" t="s">
        <x:v>52</x:v>
      </x:c>
      <x:c r="O2" s="10" t="s">
        <x:v>53</x:v>
      </x:c>
    </x:row>
    <x:row r="3" ht="150" customHeight="1">
      <x:c r="A3" s="13" t="s">
        <x:v>54</x:v>
      </x:c>
      <x:c r="B3" s="32" t="str">
        <x:v>Rothermel, G., Untch, R. H., Chu, C. e Harrold, M. J. (2001). Prioritizing Test Cases for Regression Testing. IEEE Transactions on Software Engineering, 27(10):929–948. DOI: https://doi.org/10.1109/32.962562.</x:v>
      </x:c>
      <x:c r="C3" s="32" t="str">
        <x:v>Artigo de periódico</x:v>
      </x:c>
      <x:c r="D3" s="32" t="str">
        <x:v>IEEE Transactions on Software Engineering</x:v>
      </x:c>
      <x:c r="E3" s="32" t="n">
        <x:v>2001</x:v>
      </x:c>
      <x:c r="F3" s="32" t="str">
        <x:v>Não classificado nesta matriz; sem atribuição de Qualis/JCR.</x:v>
      </x:c>
      <x:c r="G3" s="32" t="str">
        <x:v>E5 / E1</x:v>
      </x:c>
      <x:c r="H3" s="32" t="str">
        <x:v>Suíte e informações de execução → permutação dos testes.</x:v>
      </x:c>
      <x:c r="I3" s="32" t="str">
        <x:v>Cobertura total, adicional e potencial de revelar falhas.</x:v>
      </x:c>
      <x:c r="J3" s="32" t="str">
        <x:v>Não extraída do resumo; não atribuir uma ordem assintótica sem consultar o texto.</x:v>
      </x:c>
      <x:c r="K3" s="32" t="str">
        <x:v>Experimentos com suítes e programas.</x:v>
      </x:c>
      <x:c r="L3" s="32" t="str">
        <x:v>As técnicas anteciparam a detecção nos programas estudados. Permanecem compromissos entre custo e eficácia.</x:v>
      </x:c>
      <x:c r="M3" s="32" t="str">
        <x:v>Resumo consultado; magnitude e condições exigem leitura integral.</x:v>
      </x:c>
      <x:c r="N3" s="32" t="str">
        <x:v>Introdução: definição e motivação da priorização.</x:v>
      </x:c>
      <x:c r="O3" s="32" t="str">
        <x:v>Apenas resumo</x:v>
      </x:c>
    </x:row>
    <x:row r="4" ht="150" customHeight="1">
      <x:c r="A4" s="13" t="s">
        <x:v>55</x:v>
      </x:c>
      <x:c r="B4" s="32" t="str">
        <x:v>Elbaum, S., Malishevsky, A. G. e Rothermel, G. (2001). Incorporating Varying Test Costs and Fault Severities into Test Case Prioritization. Proceedings of the 23rd International Conference on Software Engineering (ICSE), p. 329–338. DOI: https://doi.org/10.1109/ICSE.2001.919106.</x:v>
      </x:c>
      <x:c r="C4" s="32" t="str">
        <x:v>Artigo de conferência</x:v>
      </x:c>
      <x:c r="D4" s="32" t="str">
        <x:v>Proceedings of the 23rd International Conference on Software Engineering (ICSE)</x:v>
      </x:c>
      <x:c r="E4" s="32" t="n">
        <x:v>2001</x:v>
      </x:c>
      <x:c r="F4" s="32" t="str">
        <x:v>Não classificado nesta matriz; sem atribuição de Qualis/JCR.</x:v>
      </x:c>
      <x:c r="G4" s="32" t="str">
        <x:v>E5</x:v>
      </x:c>
      <x:c r="H4" s="32" t="str">
        <x:v>Suíte com custos e severidades distintos → avaliação e priorização.</x:v>
      </x:c>
      <x:c r="I4" s="32" t="str">
        <x:v>Priorização sensível a custo e severidade.</x:v>
      </x:c>
      <x:c r="J4" s="32" t="str">
        <x:v>Complexidade não verificada no texto integral.</x:v>
      </x:c>
      <x:c r="K4" s="32" t="str">
        <x:v>Estudo empírico.</x:v>
      </x:c>
      <x:c r="L4" s="32" t="str">
        <x:v>Considerar custos e severidades altera a avaliação da ordem dos testes.</x:v>
      </x:c>
      <x:c r="M4" s="32" t="str">
        <x:v>Texto integral indisponível na consulta; não usar para afirmações quantitativas.</x:v>
      </x:c>
      <x:c r="N4" s="32" t="str">
        <x:v>Fundamentação: motivação da avaliação temporal.</x:v>
      </x:c>
      <x:c r="O4" s="32" t="str">
        <x:v>Apenas resumo</x:v>
      </x:c>
    </x:row>
    <x:row r="5" ht="150" customHeight="1">
      <x:c r="A5" s="13" t="s">
        <x:v>56</x:v>
      </x:c>
      <x:c r="B5" s="32" t="str">
        <x:v>Elbaum, S., Malishevsky, A. G. e Rothermel, G. (2002). Test Case Prioritization: A Family of Empirical Studies. IEEE Transactions on Software Engineering, 28(2):159–182. DOI: https://doi.org/10.1109/32.988497.</x:v>
      </x:c>
      <x:c r="C5" s="32" t="str">
        <x:v>Artigo de periódico</x:v>
      </x:c>
      <x:c r="D5" s="32" t="str">
        <x:v>IEEE Transactions on Software Engineering</x:v>
      </x:c>
      <x:c r="E5" s="32" t="n">
        <x:v>2002</x:v>
      </x:c>
      <x:c r="F5" s="32" t="str">
        <x:v>Não classificado nesta matriz; sem atribuição de Qualis/JCR.</x:v>
      </x:c>
      <x:c r="G5" s="32" t="str">
        <x:v>E5</x:v>
      </x:c>
      <x:c r="H5" s="32" t="str">
        <x:v>Suítes e informações de versões → ordens avaliadas empiricamente.</x:v>
      </x:c>
      <x:c r="I5" s="32" t="str">
        <x:v>Comparação de técnicas de priorização.</x:v>
      </x:c>
      <x:c r="J5" s="32" t="str">
        <x:v>Não verificada no texto integral.</x:v>
      </x:c>
      <x:c r="K5" s="32" t="str">
        <x:v>Família de estudos empíricos.</x:v>
      </x:c>
      <x:c r="L5" s="32" t="str">
        <x:v>Investiga fatores que influenciam a eficácia da priorização e a comparação de técnicas.</x:v>
      </x:c>
      <x:c r="M5" s="32" t="str">
        <x:v>Consulta ao resumo não permite reproduzir integralmente o protocolo.</x:v>
      </x:c>
      <x:c r="N5" s="32" t="str">
        <x:v>Trabalhos relacionados: variação de eficácia entre contextos.</x:v>
      </x:c>
      <x:c r="O5" s="32" t="str">
        <x:v>Apenas resumo</x:v>
      </x:c>
    </x:row>
    <x:row r="6" ht="150" customHeight="1">
      <x:c r="A6" s="13" t="s">
        <x:v>57</x:v>
      </x:c>
      <x:c r="B6" s="32" t="str">
        <x:v>Li, Z., Harman, M. e Hierons, R. M. (2007). Search Algorithms for Regression Test Case Prioritization. IEEE Transactions on Software Engineering, 33(4):225–237. DOI: https://doi.org/10.1109/TSE.2007.38.</x:v>
      </x:c>
      <x:c r="C6" s="32" t="str">
        <x:v>Artigo de periódico</x:v>
      </x:c>
      <x:c r="D6" s="32" t="str">
        <x:v>IEEE Transactions on Software Engineering</x:v>
      </x:c>
      <x:c r="E6" s="32" t="n">
        <x:v>2007</x:v>
      </x:c>
      <x:c r="F6" s="32" t="str">
        <x:v>Não classificado nesta matriz; sem atribuição de Qualis/JCR.</x:v>
      </x:c>
      <x:c r="G6" s="32" t="str">
        <x:v>E5 / E1</x:v>
      </x:c>
      <x:c r="H6" s="32" t="str">
        <x:v>Cobertura de n testes em m elementos → ordenação completa.</x:v>
      </x:c>
      <x:c r="I6" s="32" t="str">
        <x:v>Guloso total, adicional, 2-optimal, hill climbing e genético.</x:v>
      </x:c>
      <x:c r="J6" s="32" t="str">
        <x:v>Total O(nm+n log n); adicional O(n²m); 2-optimal O(n³m), na notação adotada.</x:v>
      </x:c>
      <x:c r="K6" s="32" t="str">
        <x:v>Seis programas C; métricas de antecipação de cobertura.</x:v>
      </x:c>
      <x:c r="L6" s="32" t="str">
        <x:v>Adicional e 2-optimal tiveram bom desempenho. Cobrir tudo cedo e maximizar a área acumulada podem produzir preferências diferentes.</x:v>
      </x:c>
      <x:c r="M6" s="32" t="str">
        <x:v>O objetivo empírico é cobertura; não equivale diretamente à detecção de defeitos.</x:v>
      </x:c>
      <x:c r="N6" s="32" t="str">
        <x:v>Fundamentação e análise: baselines, reinício e limites.</x:v>
      </x:c>
      <x:c r="O6" s="32" t="str">
        <x:v>Integral</x:v>
      </x:c>
    </x:row>
    <x:row r="7" ht="150" customHeight="1">
      <x:c r="A7" s="13" t="s">
        <x:v>58</x:v>
      </x:c>
      <x:c r="B7" s="32" t="str">
        <x:v>Walcott, K. R., Soffa, M. L., Kapfhammer, G. M. e Roos, R. S. (2006). TimeAware Test Suite Prioritization. Proceedings of the International Symposium on Software Testing and Analysis (ISSTA), p. 1–12. DOI: https://doi.org/10.1145/1146238.1146240.</x:v>
      </x:c>
      <x:c r="C7" s="32" t="str">
        <x:v>Artigo de conferência</x:v>
      </x:c>
      <x:c r="D7" s="32" t="str">
        <x:v>Proceedings of the International Symposium on Software Testing and Analysis (ISSTA)</x:v>
      </x:c>
      <x:c r="E7" s="32" t="n">
        <x:v>2006</x:v>
      </x:c>
      <x:c r="F7" s="32" t="str">
        <x:v>Não classificado nesta matriz; sem atribuição de Qualis/JCR.</x:v>
      </x:c>
      <x:c r="G7" s="32" t="str">
        <x:v>E5 / E1</x:v>
      </x:c>
      <x:c r="H7" s="32" t="str">
        <x:v>Testes, cobertura e limite temporal → solução de teste orientada ao orçamento.</x:v>
      </x:c>
      <x:c r="I7" s="32" t="str">
        <x:v>Algoritmo genético com informação temporal.</x:v>
      </x:c>
      <x:c r="J7" s="32" t="str">
        <x:v>Sem garantia de ótimo global; complexidade não consolidada nesta leitura.</x:v>
      </x:c>
      <x:c r="K7" s="32" t="str">
        <x:v>Experimentos comparativos.</x:v>
      </x:c>
      <x:c r="L7" s="32" t="str">
        <x:v>Integra duração ao problema de priorização sob tempo limitado.</x:v>
      </x:c>
      <x:c r="M7" s="32" t="str">
        <x:v>Método genético difere do guloso completo implementado neste projeto.</x:v>
      </x:c>
      <x:c r="N7" s="32" t="str">
        <x:v>Relacionados: orçamento temporal e comparação de objetivos.</x:v>
      </x:c>
      <x:c r="O7" s="32" t="str">
        <x:v>Parcial</x:v>
      </x:c>
    </x:row>
    <x:row r="8" ht="150" customHeight="1">
      <x:c r="A8" s="13" t="s">
        <x:v>59</x:v>
      </x:c>
      <x:c r="B8" s="32" t="str">
        <x:v>Di Nardo, D., Alshahwan, N., Briand, L. e Labiche, Y. (2015). Coverage-based Regression Test Case Selection, Minimization and Prioritization: A Case Study on an Industrial System. Software Testing, Verification and Reliability, 25(4):371–396. DOI: https://doi.org/10.1002/stvr.1572.</x:v>
      </x:c>
      <x:c r="C8" s="32" t="str">
        <x:v>Artigo de periódico</x:v>
      </x:c>
      <x:c r="D8" s="32" t="str">
        <x:v>Software Testing, Verification and Reliability</x:v>
      </x:c>
      <x:c r="E8" s="32" t="n">
        <x:v>2015</x:v>
      </x:c>
      <x:c r="F8" s="32" t="str">
        <x:v>Não classificado nesta matriz; sem atribuição de Qualis/JCR.</x:v>
      </x:c>
      <x:c r="G8" s="32" t="str">
        <x:v>E5</x:v>
      </x:c>
      <x:c r="H8" s="32" t="str">
        <x:v>Suíte industrial e cobertura → seleção, redução ou reordenação.</x:v>
      </x:c>
      <x:c r="I8" s="32" t="str">
        <x:v>Comparação de três modalidades de teste de regressão.</x:v>
      </x:c>
      <x:c r="J8" s="32" t="str">
        <x:v>Não verificada no texto integral; modalidades têm objetivos distintos.</x:v>
      </x:c>
      <x:c r="K8" s="32" t="str">
        <x:v>Estudo de caso industrial.</x:v>
      </x:c>
      <x:c r="L8" s="32" t="str">
        <x:v>Examina empiricamente técnicas de cobertura em um contexto industrial.</x:v>
      </x:c>
      <x:c r="M8" s="32" t="str">
        <x:v>Um contexto industrial não representa todos os sistemas; detalhes além do resumo não utilizados.</x:v>
      </x:c>
      <x:c r="N8" s="32" t="str">
        <x:v>Relacionados: distinguir priorização de seleção e minimização.</x:v>
      </x:c>
      <x:c r="O8" s="32" t="str">
        <x:v>Apenas resumo</x:v>
      </x:c>
    </x:row>
    <x:row r="9" ht="150" customHeight="1">
      <x:c r="A9" s="13" t="s">
        <x:v>60</x:v>
      </x:c>
      <x:c r="B9" s="32" t="str">
        <x:v>Chvátal, V. (1979). A Greedy Heuristic for the Set-Covering Problem. Mathematics of Operations Research, 4(3):233–235. DOI: https://doi.org/10.1287/moor.4.3.233.</x:v>
      </x:c>
      <x:c r="C9" s="32" t="str">
        <x:v>Artigo de periódico</x:v>
      </x:c>
      <x:c r="D9" s="32" t="str">
        <x:v>Mathematics of Operations Research</x:v>
      </x:c>
      <x:c r="E9" s="32" t="n">
        <x:v>1979</x:v>
      </x:c>
      <x:c r="F9" s="32" t="str">
        <x:v>Não classificado nesta matriz; sem atribuição de Qualis/JCR.</x:v>
      </x:c>
      <x:c r="G9" s="32" t="str">
        <x:v>E5 / E1</x:v>
      </x:c>
      <x:c r="H9" s="32" t="str">
        <x:v>Universo, subconjuntos e custos positivos → cobertura de custo mínimo aproximada.</x:v>
      </x:c>
      <x:c r="I9" s="32" t="str">
        <x:v>Guloso por novos elementos por unidade de custo.</x:v>
      </x:c>
      <x:c r="J9" s="32" t="str">
        <x:v>Razão H(d), d = maior cardinalidade de um conjunto; H(d) ≤ 1 + ln d.</x:v>
      </x:c>
      <x:c r="K9" s="32" t="str">
        <x:v>Prova matemática.</x:v>
      </x:c>
      <x:c r="L9" s="32" t="str">
        <x:v>Limita a razão entre o custo guloso e o ótimo na cobertura de conjuntos.</x:v>
      </x:c>
      <x:c r="M9" s="32" t="str">
        <x:v>A garantia não se transfere automaticamente à ordenação completa nem a APFD/APFDc.</x:v>
      </x:c>
      <x:c r="N9" s="32" t="str">
        <x:v>Fundamentação: clássico do eixo E5 e limite de transferência da garantia.</x:v>
      </x:c>
      <x:c r="O9" s="32" t="str">
        <x:v>Integral</x:v>
      </x:c>
    </x:row>
    <x:row r="10" ht="150" customHeight="1">
      <x:c r="A10" s="13" t="s">
        <x:v>61</x:v>
      </x:c>
      <x:c r="B10" s="32" t="str">
        <x:v>Li, F., Zhou, J., Li, Y., Hao, D. e Zhang, L. (2022). AGA: An Accelerated Greedy Additional Algorithm for Test Case Prioritization. IEEE Transactions on Software Engineering, 48(12):5102–5119. DOI: https://doi.org/10.1109/TSE.2021.3137929.</x:v>
      </x:c>
      <x:c r="C10" s="32" t="str">
        <x:v>Artigo de periódico</x:v>
      </x:c>
      <x:c r="D10" s="32" t="str">
        <x:v>IEEE Transactions on Software Engineering</x:v>
      </x:c>
      <x:c r="E10" s="32" t="n">
        <x:v>2022</x:v>
      </x:c>
      <x:c r="F10" s="32" t="str">
        <x:v>Não classificado nesta matriz; sem atribuição de Qualis/JCR.</x:v>
      </x:c>
      <x:c r="G10" s="32" t="str">
        <x:v>E5 / E1</x:v>
      </x:c>
      <x:c r="H10" s="32" t="str">
        <x:v>Matriz de cobertura → priorização adicional acelerada.</x:v>
      </x:c>
      <x:c r="I10" s="32" t="str">
        <x:v>Guloso adicional com aceleração.</x:v>
      </x:c>
      <x:c r="J10" s="32" t="str">
        <x:v>Autores: O(m²n) → O(kmn), com m testes e n elementos, n &gt; m; notação diferente deste projeto.</x:v>
      </x:c>
      <x:c r="K10" s="32" t="str">
        <x:v>55 projetos abertos e 22 industriais.</x:v>
      </x:c>
      <x:c r="L10" s="32" t="str">
        <x:v>Relata aceleração média de 5,95× e 44,27×, respectivamente, preservando a eficácia média.</x:v>
      </x:c>
      <x:c r="M10" s="32" t="str">
        <x:v>Números pertencem aos conjuntos do artigo, não ao MiniPedidos.</x:v>
      </x:c>
      <x:c r="N10" s="32" t="str">
        <x:v>Relacionados e futuro: reduzir o custo de priorização.</x:v>
      </x:c>
      <x:c r="O10" s="32" t="str">
        <x:v>Parcial</x:v>
      </x:c>
    </x:row>
    <x:row r="11" ht="150" customHeight="1">
      <x:c r="A11" s="13" t="s">
        <x:v>62</x:v>
      </x:c>
      <x:c r="B11" s="32" t="str">
        <x:v>Zhang, Q., Fang, C., Sun, W., Yu, S., Xu, Y. e Liu, Y. (2022). Test Case Prioritization Using Partial Attention. Journal of Systems and Software, 192:111419. DOI: https://doi.org/10.1016/j.jss.2022.111419.</x:v>
      </x:c>
      <x:c r="C11" s="32" t="str">
        <x:v>Artigo de periódico</x:v>
      </x:c>
      <x:c r="D11" s="32" t="str">
        <x:v>Journal of Systems and Software</x:v>
      </x:c>
      <x:c r="E11" s="32" t="n">
        <x:v>2022</x:v>
      </x:c>
      <x:c r="F11" s="32" t="str">
        <x:v>Não classificado nesta matriz; sem atribuição de Qualis/JCR.</x:v>
      </x:c>
      <x:c r="G11" s="32" t="str">
        <x:v>E5 / E1</x:v>
      </x:c>
      <x:c r="H11" s="32" t="str">
        <x:v>Informações dos testes → ordenação por modelo de atenção.</x:v>
      </x:c>
      <x:c r="I11" s="32" t="str">
        <x:v>Aprendizado com atenção parcial.</x:v>
      </x:c>
      <x:c r="J11" s="32" t="str">
        <x:v>Complexidade não derivada nesta leitura parcial; não atribuir a do guloso.</x:v>
      </x:c>
      <x:c r="K11" s="32" t="str">
        <x:v>Avaliação experimental comparativa.</x:v>
      </x:c>
      <x:c r="L11" s="32" t="str">
        <x:v>Explora atenção parcial como alternativa às heurísticas tradicionais de ordenação.</x:v>
      </x:c>
      <x:c r="M11" s="32" t="str">
        <x:v>Treino e infraestrutura ampliam o escopo; não reproduzidos neste projeto.</x:v>
      </x:c>
      <x:c r="N11" s="32" t="str">
        <x:v>Relacionados: alternativa recente e justificativa do recorte guloso.</x:v>
      </x:c>
      <x:c r="O11" s="32" t="str">
        <x:v>Parcial</x:v>
      </x:c>
    </x:row>
    <x:row r="12" ht="150" customHeight="1">
      <x:c r="A12" s="13" t="s">
        <x:v>63</x:v>
      </x:c>
      <x:c r="B12" s="32" t="str">
        <x:v>Ahmed, F. S., Majeed, A., Khan, T. A. e Bhatti, S. N. (2022). Value-based cost-cognizant test case prioritization for regression testing. PLOS ONE, 17(5):e0264972. DOI: https://doi.org/10.1371/journal.pone.0264972.</x:v>
      </x:c>
      <x:c r="C12" s="32" t="str">
        <x:v>Artigo de periódico</x:v>
      </x:c>
      <x:c r="D12" s="32" t="str">
        <x:v>PLOS ONE</x:v>
      </x:c>
      <x:c r="E12" s="32" t="n">
        <x:v>2022</x:v>
      </x:c>
      <x:c r="F12" s="32" t="str">
        <x:v>Não classificado nesta matriz; sem atribuição de Qualis/JCR.</x:v>
      </x:c>
      <x:c r="G12" s="32" t="str">
        <x:v>E5</x:v>
      </x:c>
      <x:c r="H12" s="32" t="str">
        <x:v>Literatura sobre custo e valor → síntese de técnicas e métricas.</x:v>
      </x:c>
      <x:c r="I12" s="32" t="str">
        <x:v>Revisão sistemática.</x:v>
      </x:c>
      <x:c r="J12" s="32" t="str">
        <x:v>Não propõe uma única complexidade ou garantia; depende dos métodos revisados.</x:v>
      </x:c>
      <x:c r="K12" s="32" t="str">
        <x:v>Revisão: 165 trabalhos examinados, 21 selecionados.</x:v>
      </x:c>
      <x:c r="L12" s="32" t="str">
        <x:v>Sistematiza técnicas, fatores de custo/valor e métricas de avaliação.</x:v>
      </x:c>
      <x:c r="M12" s="32" t="str">
        <x:v>Síntese de estudos heterogêneos; não prova superioridade universal de um método.</x:v>
      </x:c>
      <x:c r="N12" s="32" t="str">
        <x:v>Fundamentação: custo, métricas e limites de comparação.</x:v>
      </x:c>
      <x:c r="O12" s="32" t="str">
        <x:v>Parcial</x:v>
      </x:c>
    </x:row>
    <x:row r="13" ht="150" customHeight="1">
      <x:c r="A13" s="13" t="s">
        <x:v>64</x:v>
      </x:c>
      <x:c r="B13" s="32" t="str">
        <x:v>Inozemtseva, L. e Holmes, R. (2014). Coverage Is Not Strongly Correlated with Test Suite Effectiveness. Proceedings of the 36th International Conference on Software Engineering (ICSE), p. 435–445. DOI: https://doi.org/10.1145/2568225.2568271.</x:v>
      </x:c>
      <x:c r="C13" s="32" t="str">
        <x:v>Artigo de conferência</x:v>
      </x:c>
      <x:c r="D13" s="32" t="str">
        <x:v>Proceedings of the 36th International Conference on Software Engineering (ICSE)</x:v>
      </x:c>
      <x:c r="E13" s="32" t="n">
        <x:v>2014</x:v>
      </x:c>
      <x:c r="F13" s="32" t="str">
        <x:v>Não classificado nesta matriz; sem atribuição de Qualis/JCR.</x:v>
      </x:c>
      <x:c r="G13" s="32" t="str">
        <x:v>E1 / E5</x:v>
      </x:c>
      <x:c r="H13" s="32" t="str">
        <x:v>Suítes Java → relação entre tamanho, cobertura e detecção de mutantes.</x:v>
      </x:c>
      <x:c r="I13" s="32" t="str">
        <x:v>Estudo empírico com controle do tamanho das suítes.</x:v>
      </x:c>
      <x:c r="J13" s="32" t="str">
        <x:v>Não é proposta de algoritmo; sem garantia assintótica aplicável.</x:v>
      </x:c>
      <x:c r="K13" s="32" t="str">
        <x:v>31 mil suítes em cinco sistemas Java.</x:v>
      </x:c>
      <x:c r="L13" s="32" t="str">
        <x:v>A correlação cobertura–eficácia enfraquece ao controlar o tamanho da suíte. Cobertura alta não assegura detecção alta.</x:v>
      </x:c>
      <x:c r="M13" s="32" t="str">
        <x:v>Mutantes, sistemas Java e critérios de amostragem limitam a generalização.</x:v>
      </x:c>
      <x:c r="N13" s="32" t="str">
        <x:v>Metodologia e discussão: avaliar defeitos separadamente da cobertura.</x:v>
      </x:c>
      <x:c r="O13" s="32" t="str">
        <x:v>Integral</x:v>
      </x:c>
    </x:row>
    <x:row r="14" ht="150" customHeight="1">
      <x:c r="A14" s="13" t="s">
        <x:v>65</x:v>
      </x:c>
      <x:c r="B14" s="32" t="str">
        <x:v>Just, R., Jalali, D., Inozemtseva, L., Ernst, M. D., Holmes, R. e Fraser, G. (2014). Are Mutants a Valid Substitute for Real Faults in Software Testing?. Proceedings of the 22nd ACM SIGSOFT International Symposium on Foundations of Software Engineering (FSE), p. 654–665. DOI: https://doi.org/10.1145/2635868.2635929.</x:v>
      </x:c>
      <x:c r="C14" s="32" t="str">
        <x:v>Artigo de conferência</x:v>
      </x:c>
      <x:c r="D14" s="32" t="str">
        <x:v>Proceedings of the 22nd ACM SIGSOFT International Symposium on Foundations of Software Engineering (FSE)</x:v>
      </x:c>
      <x:c r="E14" s="32" t="n">
        <x:v>2014</x:v>
      </x:c>
      <x:c r="F14" s="32" t="str">
        <x:v>Não classificado nesta matriz; sem atribuição de Qualis/JCR.</x:v>
      </x:c>
      <x:c r="G14" s="32" t="str">
        <x:v>E1</x:v>
      </x:c>
      <x:c r="H14" s="32" t="str">
        <x:v>Testes, mutantes e defeitos reais → análise de associação de detecção.</x:v>
      </x:c>
      <x:c r="I14" s="32" t="str">
        <x:v>Comparação empírica com controle de cobertura.</x:v>
      </x:c>
      <x:c r="J14" s="32" t="str">
        <x:v>Não propõe priorizador; sem complexidade única ou garantia de equivalência.</x:v>
      </x:c>
      <x:c r="K14" s="32" t="str">
        <x:v>357 defeitos reais em cinco programas Java.</x:v>
      </x:c>
      <x:c r="L14" s="32" t="str">
        <x:v>Encontra associação entre detecção de mutantes e defeitos reais no contexto estudado.</x:v>
      </x:c>
      <x:c r="M14" s="32" t="str">
        <x:v>Associação não torna quaisquer mutantes equivalentes a defeitos reais.</x:v>
      </x:c>
      <x:c r="N14" s="32" t="str">
        <x:v>Ameaças à validade: limites dos defeitos artificiais.</x:v>
      </x:c>
      <x:c r="O14" s="32" t="str">
        <x:v>Parcial</x:v>
      </x:c>
    </x:row>
    <x:row r="15" ht="45.75" customHeight="1">
      <x:c r="A15" s="13" t="s">
        <x:v>66</x:v>
      </x:c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</x:row>
    <x:row r="16" ht="45.75" customHeight="1">
      <x:c r="A16" s="13" t="s">
        <x:v>67</x:v>
      </x:c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</x:row>
    <x:row r="17" ht="45.75" customHeight="1">
      <x:c r="A17" s="13" t="s">
        <x:v>68</x:v>
      </x:c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</x:row>
    <x:row r="18" ht="45.75" customHeight="1">
      <x:c r="A18" s="13" t="s">
        <x:v>69</x:v>
      </x:c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</x:row>
    <x:row r="19" ht="45.75" customHeight="1">
      <x:c r="A19" s="13" t="s">
        <x:v>70</x:v>
      </x:c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</x:row>
    <x:row r="20" ht="45.75" customHeight="1">
      <x:c r="A20" s="13" t="s">
        <x:v>71</x:v>
      </x:c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</x:row>
    <x:row r="21" ht="45.75" customHeight="1">
      <x:c r="A21" s="13" t="s">
        <x:v>72</x:v>
      </x:c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</x:row>
    <x:row r="22" ht="45.75" customHeight="1">
      <x:c r="A22" s="13" t="s">
        <x:v>73</x:v>
      </x:c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</x:row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4">
    <x:dataValidation type="list" allowBlank="1" sqref="G3:G22">
      <x:formula1>"E1,E2,E3,E4,E5,E6,E7"</x:formula1>
    </x:dataValidation>
    <x:dataValidation type="list" allowBlank="1" sqref="C3:C22">
      <x:formula1>"Artigo de periódico,Artigo de conferência,Livro,Capítulo de livro,Tese ou dissertação,Relatório técnico,Norma ou documentação,Outro"</x:formula1>
    </x:dataValidation>
    <x:dataValidation type="list" allowBlank="1" sqref="K3:K22">
      <x:formula1>"Prova formal,Experimento,Simulação,Benchmark público,Estudo de caso,Sem validação"</x:formula1>
    </x:dataValidation>
    <x:dataValidation type="list" allowBlank="1" sqref="O3:O22">
      <x:formula1>"Integral,Parcial,Apenas resumo"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8" customWidth="1"/>
    <x:col min="2" max="2" width="58" customWidth="1"/>
    <x:col min="3" max="10" width="15" customWidth="1"/>
    <x:col min="11" max="26" width="8.710000038146973" customWidth="1"/>
  </x:cols>
  <x:sheetData>
    <x:row r="1">
      <x:c r="A1" s="5" t="s">
        <x:v>74</x:v>
      </x:c>
    </x:row>
    <x:row r="2" ht="30" customHeight="1">
      <x:c r="A2" s="2" t="s">
        <x:v>75</x:v>
      </x:c>
    </x:row>
    <x:row r="4" ht="30" customHeight="1">
      <x:c r="A4" s="3" t="s">
        <x:v>26</x:v>
      </x:c>
      <x:c r="B4" s="3" t="s">
        <x:v>76</x:v>
      </x:c>
      <x:c r="C4" s="3" t="str">
        <x:v>Priorização</x:v>
      </x:c>
      <x:c r="D4" s="3" t="str">
        <x:v>Cobertura</x:v>
      </x:c>
      <x:c r="E4" s="3" t="str">
        <x:v>Custos / tempo</x:v>
      </x:c>
      <x:c r="F4" s="3" t="str">
        <x:v>Detecção / métricas</x:v>
      </x:c>
      <x:c r="G4" s="3" t="str">
        <x:v>Complexidade</x:v>
      </x:c>
      <x:c r="H4" s="3" t="str">
        <x:v>Experimentos</x:v>
      </x:c>
      <x:c r="I4" s="3" t="str">
        <x:v>Limites / garantias</x:v>
      </x:c>
      <x:c r="J4" s="3" t="str">
        <x:v>Contexto industrial</x:v>
      </x:c>
    </x:row>
    <x:row r="5" ht="108" customHeight="1">
      <x:c r="A5" s="17" t="s">
        <x:v>54</x:v>
      </x:c>
      <x:c r="B5" s="50" t="str">
        <x:f>IF('Matriz Analítica'!B3="","",'Matriz Analítica'!B3)</x:f>
        <x:v>Rothermel, G., Untch, R. H., Chu, C. e Harrold, M. J. (2001). Prioritizing Test Cases for Regression Testing. IEEE Transactions on Software Engineering, 27(10):929–948. DOI: https://doi.org/10.1109/32.962562.</x:v>
      </x:c>
      <x:c r="C5" s="18" t="str">
        <x:v>X</x:v>
      </x:c>
      <x:c r="D5" s="18" t="str">
        <x:v>X</x:v>
      </x:c>
      <x:c r="E5" s="18" t="str"/>
      <x:c r="F5" s="18" t="str">
        <x:v>X</x:v>
      </x:c>
      <x:c r="G5" s="18" t="str"/>
      <x:c r="H5" s="18" t="str">
        <x:v>X</x:v>
      </x:c>
      <x:c r="I5" s="18" t="str"/>
      <x:c r="J5" s="18" t="str"/>
    </x:row>
    <x:row r="6" ht="108" customHeight="1">
      <x:c r="A6" s="17" t="s">
        <x:v>55</x:v>
      </x:c>
      <x:c r="B6" s="50" t="str">
        <x:f>IF('Matriz Analítica'!B4="","",'Matriz Analítica'!B4)</x:f>
        <x:v>Elbaum, S., Malishevsky, A. G. e Rothermel, G. (2001). Incorporating Varying Test Costs and Fault Severities into Test Case Prioritization. Proceedings of the 23rd International Conference on Software Engineering (ICSE), p. 329–338. DOI: https://doi.org/10.1109/ICSE.2001.919106.</x:v>
      </x:c>
      <x:c r="C6" s="18" t="str">
        <x:v>X</x:v>
      </x:c>
      <x:c r="D6" s="18" t="str"/>
      <x:c r="E6" s="18" t="str">
        <x:v>X</x:v>
      </x:c>
      <x:c r="F6" s="18" t="str">
        <x:v>X</x:v>
      </x:c>
      <x:c r="G6" s="18" t="str"/>
      <x:c r="H6" s="18" t="str">
        <x:v>X</x:v>
      </x:c>
      <x:c r="I6" s="18" t="str"/>
      <x:c r="J6" s="18" t="str"/>
    </x:row>
    <x:row r="7" ht="108" customHeight="1">
      <x:c r="A7" s="17" t="s">
        <x:v>56</x:v>
      </x:c>
      <x:c r="B7" s="50" t="str">
        <x:f>IF('Matriz Analítica'!B5="","",'Matriz Analítica'!B5)</x:f>
        <x:v>Elbaum, S., Malishevsky, A. G. e Rothermel, G. (2002). Test Case Prioritization: A Family of Empirical Studies. IEEE Transactions on Software Engineering, 28(2):159–182. DOI: https://doi.org/10.1109/32.988497.</x:v>
      </x:c>
      <x:c r="C7" s="18" t="str">
        <x:v>X</x:v>
      </x:c>
      <x:c r="D7" s="18" t="str">
        <x:v>X</x:v>
      </x:c>
      <x:c r="E7" s="18" t="str"/>
      <x:c r="F7" s="18" t="str">
        <x:v>X</x:v>
      </x:c>
      <x:c r="G7" s="18" t="str"/>
      <x:c r="H7" s="18" t="str">
        <x:v>X</x:v>
      </x:c>
      <x:c r="I7" s="18" t="str"/>
      <x:c r="J7" s="18" t="str"/>
    </x:row>
    <x:row r="8" ht="108" customHeight="1">
      <x:c r="A8" s="17" t="s">
        <x:v>57</x:v>
      </x:c>
      <x:c r="B8" s="50" t="str">
        <x:f>IF('Matriz Analítica'!B6="","",'Matriz Analítica'!B6)</x:f>
        <x:v>Li, Z., Harman, M. e Hierons, R. M. (2007). Search Algorithms for Regression Test Case Prioritization. IEEE Transactions on Software Engineering, 33(4):225–237. DOI: https://doi.org/10.1109/TSE.2007.38.</x:v>
      </x:c>
      <x:c r="C8" s="18" t="str">
        <x:v>X</x:v>
      </x:c>
      <x:c r="D8" s="18" t="str">
        <x:v>X</x:v>
      </x:c>
      <x:c r="E8" s="18" t="str"/>
      <x:c r="F8" s="18" t="str"/>
      <x:c r="G8" s="18" t="str">
        <x:v>X</x:v>
      </x:c>
      <x:c r="H8" s="18" t="str">
        <x:v>X</x:v>
      </x:c>
      <x:c r="I8" s="18" t="str">
        <x:v>X</x:v>
      </x:c>
      <x:c r="J8" s="18" t="str"/>
    </x:row>
    <x:row r="9" ht="108" customHeight="1">
      <x:c r="A9" s="17" t="s">
        <x:v>58</x:v>
      </x:c>
      <x:c r="B9" s="50" t="str">
        <x:f>IF('Matriz Analítica'!B7="","",'Matriz Analítica'!B7)</x:f>
        <x:v>Walcott, K. R., Soffa, M. L., Kapfhammer, G. M. e Roos, R. S. (2006). TimeAware Test Suite Prioritization. Proceedings of the International Symposium on Software Testing and Analysis (ISSTA), p. 1–12. DOI: https://doi.org/10.1145/1146238.1146240.</x:v>
      </x:c>
      <x:c r="C9" s="18" t="str">
        <x:v>X</x:v>
      </x:c>
      <x:c r="D9" s="18" t="str">
        <x:v>X</x:v>
      </x:c>
      <x:c r="E9" s="18" t="str">
        <x:v>X</x:v>
      </x:c>
      <x:c r="F9" s="18" t="str"/>
      <x:c r="G9" s="18" t="str"/>
      <x:c r="H9" s="18" t="str">
        <x:v>X</x:v>
      </x:c>
      <x:c r="I9" s="18" t="str"/>
      <x:c r="J9" s="18" t="str"/>
    </x:row>
    <x:row r="10" ht="108" customHeight="1">
      <x:c r="A10" s="17" t="s">
        <x:v>59</x:v>
      </x:c>
      <x:c r="B10" s="50" t="str">
        <x:f>IF('Matriz Analítica'!B8="","",'Matriz Analítica'!B8)</x:f>
        <x:v>Di Nardo, D., Alshahwan, N., Briand, L. e Labiche, Y. (2015). Coverage-based Regression Test Case Selection, Minimization and Prioritization: A Case Study on an Industrial System. Software Testing, Verification and Reliability, 25(4):371–396. DOI: https://doi.org/10.1002/stvr.1572.</x:v>
      </x:c>
      <x:c r="C10" s="18" t="str">
        <x:v>X</x:v>
      </x:c>
      <x:c r="D10" s="18" t="str">
        <x:v>X</x:v>
      </x:c>
      <x:c r="E10" s="18" t="str"/>
      <x:c r="F10" s="18" t="str"/>
      <x:c r="G10" s="18" t="str"/>
      <x:c r="H10" s="18" t="str">
        <x:v>X</x:v>
      </x:c>
      <x:c r="I10" s="18" t="str"/>
      <x:c r="J10" s="18" t="str">
        <x:v>X</x:v>
      </x:c>
    </x:row>
    <x:row r="11" ht="108" customHeight="1">
      <x:c r="A11" s="17" t="s">
        <x:v>60</x:v>
      </x:c>
      <x:c r="B11" s="50" t="str">
        <x:f>IF('Matriz Analítica'!B9="","",'Matriz Analítica'!B9)</x:f>
        <x:v>Chvátal, V. (1979). A Greedy Heuristic for the Set-Covering Problem. Mathematics of Operations Research, 4(3):233–235. DOI: https://doi.org/10.1287/moor.4.3.233.</x:v>
      </x:c>
      <x:c r="C11" s="18" t="str"/>
      <x:c r="D11" s="18" t="str">
        <x:v>X</x:v>
      </x:c>
      <x:c r="E11" s="18" t="str">
        <x:v>X</x:v>
      </x:c>
      <x:c r="F11" s="18" t="str"/>
      <x:c r="G11" s="18" t="str">
        <x:v>X</x:v>
      </x:c>
      <x:c r="H11" s="18" t="str"/>
      <x:c r="I11" s="18" t="str">
        <x:v>X</x:v>
      </x:c>
      <x:c r="J11" s="18" t="str"/>
    </x:row>
    <x:row r="12" ht="108" customHeight="1">
      <x:c r="A12" s="17" t="s">
        <x:v>61</x:v>
      </x:c>
      <x:c r="B12" s="50" t="str">
        <x:f>IF('Matriz Analítica'!B10="","",'Matriz Analítica'!B10)</x:f>
        <x:v>Li, F., Zhou, J., Li, Y., Hao, D. e Zhang, L. (2022). AGA: An Accelerated Greedy Additional Algorithm for Test Case Prioritization. IEEE Transactions on Software Engineering, 48(12):5102–5119. DOI: https://doi.org/10.1109/TSE.2021.3137929.</x:v>
      </x:c>
      <x:c r="C12" s="18" t="str">
        <x:v>X</x:v>
      </x:c>
      <x:c r="D12" s="18" t="str">
        <x:v>X</x:v>
      </x:c>
      <x:c r="E12" s="18" t="str"/>
      <x:c r="F12" s="18" t="str">
        <x:v>X</x:v>
      </x:c>
      <x:c r="G12" s="18" t="str">
        <x:v>X</x:v>
      </x:c>
      <x:c r="H12" s="18" t="str">
        <x:v>X</x:v>
      </x:c>
      <x:c r="I12" s="18" t="str"/>
      <x:c r="J12" s="18" t="str">
        <x:v>X</x:v>
      </x:c>
    </x:row>
    <x:row r="13" ht="108" customHeight="1">
      <x:c r="A13" s="17" t="s">
        <x:v>62</x:v>
      </x:c>
      <x:c r="B13" s="50" t="str">
        <x:f>IF('Matriz Analítica'!B11="","",'Matriz Analítica'!B11)</x:f>
        <x:v>Zhang, Q., Fang, C., Sun, W., Yu, S., Xu, Y. e Liu, Y. (2022). Test Case Prioritization Using Partial Attention. Journal of Systems and Software, 192:111419. DOI: https://doi.org/10.1016/j.jss.2022.111419.</x:v>
      </x:c>
      <x:c r="C13" s="18" t="str">
        <x:v>X</x:v>
      </x:c>
      <x:c r="D13" s="18" t="str"/>
      <x:c r="E13" s="18" t="str"/>
      <x:c r="F13" s="18" t="str">
        <x:v>X</x:v>
      </x:c>
      <x:c r="G13" s="18" t="str"/>
      <x:c r="H13" s="18" t="str">
        <x:v>X</x:v>
      </x:c>
      <x:c r="I13" s="18" t="str"/>
      <x:c r="J13" s="18" t="str"/>
    </x:row>
    <x:row r="14" ht="108" customHeight="1">
      <x:c r="A14" s="17" t="s">
        <x:v>63</x:v>
      </x:c>
      <x:c r="B14" s="50" t="str">
        <x:f>IF('Matriz Analítica'!B12="","",'Matriz Analítica'!B12)</x:f>
        <x:v>Ahmed, F. S., Majeed, A., Khan, T. A. e Bhatti, S. N. (2022). Value-based cost-cognizant test case prioritization for regression testing. PLOS ONE, 17(5):e0264972. DOI: https://doi.org/10.1371/journal.pone.0264972.</x:v>
      </x:c>
      <x:c r="C14" s="18" t="str">
        <x:v>X</x:v>
      </x:c>
      <x:c r="D14" s="18" t="str"/>
      <x:c r="E14" s="18" t="str">
        <x:v>X</x:v>
      </x:c>
      <x:c r="F14" s="18" t="str">
        <x:v>X</x:v>
      </x:c>
      <x:c r="G14" s="18" t="str"/>
      <x:c r="H14" s="18" t="str">
        <x:v>X</x:v>
      </x:c>
      <x:c r="I14" s="18" t="str"/>
      <x:c r="J14" s="18" t="str"/>
    </x:row>
    <x:row r="15" ht="108" customHeight="1">
      <x:c r="A15" s="17" t="s">
        <x:v>64</x:v>
      </x:c>
      <x:c r="B15" s="50" t="str">
        <x:f>IF('Matriz Analítica'!B13="","",'Matriz Analítica'!B13)</x:f>
        <x:v>Inozemtseva, L. e Holmes, R. (2014). Coverage Is Not Strongly Correlated with Test Suite Effectiveness. Proceedings of the 36th International Conference on Software Engineering (ICSE), p. 435–445. DOI: https://doi.org/10.1145/2568225.2568271.</x:v>
      </x:c>
      <x:c r="C15" s="18" t="str"/>
      <x:c r="D15" s="18" t="str">
        <x:v>X</x:v>
      </x:c>
      <x:c r="E15" s="18" t="str"/>
      <x:c r="F15" s="18" t="str">
        <x:v>X</x:v>
      </x:c>
      <x:c r="G15" s="18" t="str"/>
      <x:c r="H15" s="18" t="str">
        <x:v>X</x:v>
      </x:c>
      <x:c r="I15" s="18" t="str">
        <x:v>X</x:v>
      </x:c>
      <x:c r="J15" s="18" t="str"/>
    </x:row>
    <x:row r="16" ht="108" customHeight="1">
      <x:c r="A16" s="17" t="s">
        <x:v>65</x:v>
      </x:c>
      <x:c r="B16" s="50" t="str">
        <x:f>IF('Matriz Analítica'!B14="","",'Matriz Analítica'!B14)</x:f>
        <x:v>Just, R., Jalali, D., Inozemtseva, L., Ernst, M. D., Holmes, R. e Fraser, G. (2014). Are Mutants a Valid Substitute for Real Faults in Software Testing?. Proceedings of the 22nd ACM SIGSOFT International Symposium on Foundations of Software Engineering (FSE), p. 654–665. DOI: https://doi.org/10.1145/2635868.2635929.</x:v>
      </x:c>
      <x:c r="C16" s="18" t="str"/>
      <x:c r="D16" s="18" t="str"/>
      <x:c r="E16" s="18" t="str"/>
      <x:c r="F16" s="18" t="str">
        <x:v>X</x:v>
      </x:c>
      <x:c r="G16" s="18" t="str"/>
      <x:c r="H16" s="18" t="str">
        <x:v>X</x:v>
      </x:c>
      <x:c r="I16" s="18" t="str">
        <x:v>X</x:v>
      </x:c>
      <x:c r="J16" s="18" t="str"/>
    </x:row>
    <x:row r="17">
      <x:c r="A17" s="17" t="s">
        <x:v>66</x:v>
      </x:c>
      <x:c r="B17" s="21" t="str">
        <x:f>IF('Matriz Analítica'!B15="","",'Matriz Analítica'!B15)</x:f>
      </x:c>
      <x:c r="C17" s="18"/>
      <x:c r="D17" s="18"/>
      <x:c r="E17" s="18"/>
      <x:c r="F17" s="18"/>
      <x:c r="G17" s="18"/>
      <x:c r="H17" s="18"/>
      <x:c r="I17" s="18"/>
      <x:c r="J17" s="18"/>
    </x:row>
    <x:row r="18">
      <x:c r="A18" s="17" t="s">
        <x:v>67</x:v>
      </x:c>
      <x:c r="B18" s="21" t="str">
        <x:f>IF('Matriz Analítica'!B16="","",'Matriz Analítica'!B16)</x:f>
      </x:c>
      <x:c r="C18" s="18"/>
      <x:c r="D18" s="18"/>
      <x:c r="E18" s="18"/>
      <x:c r="F18" s="18"/>
      <x:c r="G18" s="18"/>
      <x:c r="H18" s="18"/>
      <x:c r="I18" s="18"/>
      <x:c r="J18" s="18"/>
    </x:row>
    <x:row r="19">
      <x:c r="A19" s="17" t="s">
        <x:v>68</x:v>
      </x:c>
      <x:c r="B19" s="21" t="str">
        <x:f>IF('Matriz Analítica'!B17="","",'Matriz Analítica'!B17)</x:f>
      </x:c>
      <x:c r="C19" s="18"/>
      <x:c r="D19" s="18"/>
      <x:c r="E19" s="18"/>
      <x:c r="F19" s="18"/>
      <x:c r="G19" s="18"/>
      <x:c r="H19" s="18"/>
      <x:c r="I19" s="18"/>
      <x:c r="J19" s="18"/>
    </x:row>
    <x:row r="20">
      <x:c r="A20" s="17" t="s">
        <x:v>69</x:v>
      </x:c>
      <x:c r="B20" s="21" t="str">
        <x:f>IF('Matriz Analítica'!B18="","",'Matriz Analítica'!B18)</x:f>
      </x:c>
      <x:c r="C20" s="18"/>
      <x:c r="D20" s="18"/>
      <x:c r="E20" s="18"/>
      <x:c r="F20" s="18"/>
      <x:c r="G20" s="18"/>
      <x:c r="H20" s="18"/>
      <x:c r="I20" s="18"/>
      <x:c r="J20" s="18"/>
    </x:row>
    <x:row r="21" ht="15.75" customHeight="1">
      <x:c r="A21" s="17" t="s">
        <x:v>70</x:v>
      </x:c>
      <x:c r="B21" s="21" t="str">
        <x:f>IF('Matriz Analítica'!B19="","",'Matriz Analítica'!B19)</x:f>
      </x:c>
      <x:c r="C21" s="18"/>
      <x:c r="D21" s="18"/>
      <x:c r="E21" s="18"/>
      <x:c r="F21" s="18"/>
      <x:c r="G21" s="18"/>
      <x:c r="H21" s="18"/>
      <x:c r="I21" s="18"/>
      <x:c r="J21" s="18"/>
    </x:row>
    <x:row r="22" ht="15.75" customHeight="1">
      <x:c r="A22" s="17" t="s">
        <x:v>71</x:v>
      </x:c>
      <x:c r="B22" s="21" t="str">
        <x:f>IF('Matriz Analítica'!B20="","",'Matriz Analítica'!B20)</x:f>
      </x:c>
      <x:c r="C22" s="18"/>
      <x:c r="D22" s="18"/>
      <x:c r="E22" s="18"/>
      <x:c r="F22" s="18"/>
      <x:c r="G22" s="18"/>
      <x:c r="H22" s="18"/>
      <x:c r="I22" s="18"/>
      <x:c r="J22" s="18"/>
    </x:row>
    <x:row r="23" ht="15.75" customHeight="1">
      <x:c r="A23" s="17" t="s">
        <x:v>72</x:v>
      </x:c>
      <x:c r="B23" s="21" t="str">
        <x:f>IF('Matriz Analítica'!B21="","",'Matriz Analítica'!B21)</x:f>
      </x:c>
      <x:c r="C23" s="18"/>
      <x:c r="D23" s="18"/>
      <x:c r="E23" s="18"/>
      <x:c r="F23" s="18"/>
      <x:c r="G23" s="18"/>
      <x:c r="H23" s="18"/>
      <x:c r="I23" s="18"/>
      <x:c r="J23" s="18"/>
    </x:row>
    <x:row r="24" ht="15.75" customHeight="1">
      <x:c r="A24" s="17" t="s">
        <x:v>73</x:v>
      </x:c>
      <x:c r="B24" s="21" t="str">
        <x:f>IF('Matriz Analítica'!B22="","",'Matriz Analítica'!B22)</x:f>
      </x:c>
      <x:c r="C24" s="18"/>
      <x:c r="D24" s="18"/>
      <x:c r="E24" s="18"/>
      <x:c r="F24" s="18"/>
      <x:c r="G24" s="18"/>
      <x:c r="H24" s="18"/>
      <x:c r="I24" s="18"/>
      <x:c r="J24" s="18"/>
    </x:row>
    <x:row r="25" ht="15.75" customHeight="1">
      <x:c r="B25" s="23" t="s">
        <x:v>77</x:v>
      </x:c>
      <x:c r="C25" s="20" t="n">
        <x:f t="shared" ref="C25:J25" si="1">COUNTIF(C5:C24,"X")</x:f>
        <x:v>9</x:v>
      </x:c>
      <x:c r="D25" s="20">
        <x:f t="shared" si="1"/>
        <x:v>0</x:v>
      </x:c>
      <x:c r="E25" s="20">
        <x:f t="shared" si="1"/>
        <x:v>0</x:v>
      </x:c>
      <x:c r="F25" s="20">
        <x:f t="shared" si="1"/>
        <x:v>0</x:v>
      </x:c>
      <x:c r="G25" s="20">
        <x:f t="shared" si="1"/>
        <x:v>0</x:v>
      </x:c>
      <x:c r="H25" s="20">
        <x:f t="shared" si="1"/>
        <x:v>0</x:v>
      </x:c>
      <x:c r="I25" s="20">
        <x:f t="shared" si="1"/>
        <x:v>0</x:v>
      </x:c>
      <x:c r="J25" s="20">
        <x:f t="shared" si="1"/>
        <x:v>0</x:v>
      </x:c>
    </x:row>
    <x:row r="26" ht="15.75" customHeight="1"/>
    <x:row r="27" ht="15.75" customHeight="1">
      <x:c r="A27" s="22" t="s">
        <x:v>78</x:v>
      </x:c>
    </x:row>
    <x:row r="28" ht="30" customHeight="1">
      <x:c r="A28" s="2" t="s">
        <x:v>79</x:v>
      </x:c>
    </x:row>
    <x:row r="29" ht="15.75" customHeight="1">
      <x:c r="A29" s="33" t="str">
        <x:v>Os estudos oferecem heurísticas de cobertura, métodos sensíveis ao tempo e alternativas recentes de aceleração ou aprendizado.
Esses resultados não determinam qual estratégia compensa em uma suíte de funções muito curtas.
Neste recorte, o próprio cálculo da ordem pode dominar a duração dos testes.
A contribuição é uma comparação reprodutível de seis estratégias, preservando todos os testes de cada instância.
Cobertura, detecção de defeitos artificiais e custo da priorização serão avaliados separadamente.
A lacuna é local e didática, sem reivindicar novidade geral na área.
A avaliação industrial e com defeitos naturais permanece como extensão necessária.</x:v>
      </x:c>
      <x:c r="B29" s="42"/>
      <x:c r="C29" s="42"/>
      <x:c r="D29" s="42"/>
      <x:c r="E29" s="42"/>
      <x:c r="F29" s="42"/>
      <x:c r="G29" s="42"/>
      <x:c r="H29" s="42"/>
      <x:c r="I29" s="42"/>
      <x:c r="J29" s="43"/>
    </x:row>
    <x:row r="30" ht="15.75" customHeight="1">
      <x:c r="A30" s="44"/>
      <x:c r="B30" s="45"/>
      <x:c r="C30" s="45"/>
      <x:c r="D30" s="45"/>
      <x:c r="E30" s="45"/>
      <x:c r="F30" s="45"/>
      <x:c r="G30" s="45"/>
      <x:c r="H30" s="45"/>
      <x:c r="I30" s="45"/>
      <x:c r="J30" s="46"/>
    </x:row>
    <x:row r="31" ht="15.75" customHeight="1">
      <x:c r="A31" s="44"/>
      <x:c r="B31" s="45"/>
      <x:c r="C31" s="45"/>
      <x:c r="D31" s="45"/>
      <x:c r="E31" s="45"/>
      <x:c r="F31" s="45"/>
      <x:c r="G31" s="45"/>
      <x:c r="H31" s="45"/>
      <x:c r="I31" s="45"/>
      <x:c r="J31" s="46"/>
    </x:row>
    <x:row r="32" ht="15.75" customHeight="1">
      <x:c r="A32" s="44"/>
      <x:c r="B32" s="45"/>
      <x:c r="C32" s="45"/>
      <x:c r="D32" s="45"/>
      <x:c r="E32" s="45"/>
      <x:c r="F32" s="45"/>
      <x:c r="G32" s="45"/>
      <x:c r="H32" s="45"/>
      <x:c r="I32" s="45"/>
      <x:c r="J32" s="46"/>
    </x:row>
    <x:row r="33" ht="15.75" customHeight="1">
      <x:c r="A33" s="44"/>
      <x:c r="B33" s="45"/>
      <x:c r="C33" s="45"/>
      <x:c r="D33" s="45"/>
      <x:c r="E33" s="45"/>
      <x:c r="F33" s="45"/>
      <x:c r="G33" s="45"/>
      <x:c r="H33" s="45"/>
      <x:c r="I33" s="45"/>
      <x:c r="J33" s="46"/>
    </x:row>
    <x:row r="34" ht="15.75" customHeight="1">
      <x:c r="A34" s="44"/>
      <x:c r="B34" s="45"/>
      <x:c r="C34" s="45"/>
      <x:c r="D34" s="45"/>
      <x:c r="E34" s="45"/>
      <x:c r="F34" s="45"/>
      <x:c r="G34" s="45"/>
      <x:c r="H34" s="45"/>
      <x:c r="I34" s="45"/>
      <x:c r="J34" s="46"/>
    </x:row>
    <x:row r="35" ht="15.75" customHeight="1">
      <x:c r="A35" s="47"/>
      <x:c r="B35" s="48"/>
      <x:c r="C35" s="48"/>
      <x:c r="D35" s="48"/>
      <x:c r="E35" s="48"/>
      <x:c r="F35" s="48"/>
      <x:c r="G35" s="48"/>
      <x:c r="H35" s="48"/>
      <x:c r="I35" s="48"/>
      <x:c r="J35" s="49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2:J2"/>
    <x:mergeCell ref="A28:J28"/>
    <x:mergeCell ref="A29:J3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3" customWidth="1"/>
    <x:col min="2" max="2" width="62" customWidth="1"/>
    <x:col min="3" max="4" width="12" customWidth="1"/>
    <x:col min="5" max="5" width="30" customWidth="1"/>
    <x:col min="6" max="26" width="8.710000038146973" customWidth="1"/>
  </x:cols>
  <x:sheetData>
    <x:row r="2">
      <x:c r="B2" s="5" t="s">
        <x:v>80</x:v>
      </x:c>
    </x:row>
    <x:row r="3">
      <x:c r="B3" s="8" t="s">
        <x:v>81</x:v>
      </x:c>
    </x:row>
    <x:row r="5">
      <x:c r="B5" s="9" t="s">
        <x:v>82</x:v>
      </x:c>
      <x:c r="C5" s="11">
        <x:v>2021.0</x:v>
      </x:c>
      <x:c r="E5" s="8" t="s">
        <x:v>83</x:v>
      </x:c>
    </x:row>
    <x:row r="7">
      <x:c r="B7" s="3" t="s">
        <x:v>84</x:v>
      </x:c>
      <x:c r="C7" s="3" t="s">
        <x:v>85</x:v>
      </x:c>
      <x:c r="D7" s="3" t="s">
        <x:v>86</x:v>
      </x:c>
      <x:c r="E7" s="3" t="s">
        <x:v>87</x:v>
      </x:c>
    </x:row>
    <x:row r="8" ht="21.75" customHeight="1">
      <x:c r="B8" s="15" t="s">
        <x:v>88</x:v>
      </x:c>
      <x:c r="C8" s="18">
        <x:v>10.0</x:v>
      </x:c>
      <x:c r="D8" s="20" t="n">
        <x:f>COUNTA('Matriz Analítica'!B3:B22)</x:f>
        <x:v>12</x:v>
      </x:c>
      <x:c r="E8" s="20" t="str">
        <x:f t="shared" ref="E8:E10" si="1">IF($D$8&gt;=$C$8,"OK","Faltam "&amp;($C$8-$D$8))</x:f>
        <x:v>OK</x:v>
      </x:c>
    </x:row>
    <x:row r="9" ht="21.75" customHeight="1">
      <x:c r="B9" s="15" t="s">
        <x:v>89</x:v>
      </x:c>
      <x:c r="C9" s="18">
        <x:v>5.0</x:v>
      </x:c>
      <x:c r="D9" s="20" t="n">
        <x:f>COUNTIF('Matriz Analítica'!C3:C22,"Artigo de periódico")+COUNTIF('Matriz Analítica'!C3:C22,"Artigo de conferência")</x:f>
        <x:v>12</x:v>
      </x:c>
      <x:c r="E9" s="20" t="str">
        <x:f t="shared" si="1">IF($D$9&gt;=$C$9,"OK","Faltam "&amp;($C$9-$D$9))</x:f>
        <x:v>OK</x:v>
      </x:c>
    </x:row>
    <x:row r="10" ht="21.75" customHeight="1">
      <x:c r="B10" s="15" t="s">
        <x:v>90</x:v>
      </x:c>
      <x:c r="C10" s="18">
        <x:v>2.0</x:v>
      </x:c>
      <x:c r="D10" s="20" t="n">
        <x:f>COUNTIF('Matriz Analítica'!E3:E22,"&gt;="&amp;$C$5)</x:f>
        <x:v>3</x:v>
      </x:c>
      <x:c r="E10" s="20" t="str">
        <x:f t="shared" si="1">IF($D$10&gt;=$C$10,"OK","Faltam "&amp;($C$10-$D$10))</x:f>
        <x:v>OK</x:v>
      </x:c>
    </x:row>
    <x:row r="11" ht="21.75" customHeight="1">
      <x:c r="B11" s="15" t="s">
        <x:v>91</x:v>
      </x:c>
      <x:c r="C11" s="18">
        <x:v>3.0</x:v>
      </x:c>
      <x:c r="D11" s="20" t="n">
        <x:f>COUNTIF('Matriz Analítica'!C3:C22,"Livro")+COUNTIF('Matriz Analítica'!C3:C22,"Capítulo de livro")</x:f>
        <x:v>0</x:v>
      </x:c>
      <x:c r="E11" s="20" t="str">
        <x:f>IF($D$11&lt;=$C$11,"OK","Excedeu em "&amp;($D$11-$C$11))</x:f>
        <x:v>OK</x:v>
      </x:c>
    </x:row>
    <x:row r="12" ht="21.75" customHeight="1">
      <x:c r="B12" s="15" t="s">
        <x:v>92</x:v>
      </x:c>
      <x:c r="C12" s="18">
        <x:v>10.0</x:v>
      </x:c>
      <x:c r="D12" s="20" t="n">
        <x:f>COUNTA('Matriz Analítica'!J3:J22)</x:f>
        <x:v>12</x:v>
      </x:c>
      <x:c r="E12" s="20" t="str">
        <x:f t="shared" ref="E12:E14" si="2">IF($D$12&gt;=$C$12,"OK","Faltam "&amp;($C$12-$D$12))</x:f>
        <x:v>OK</x:v>
      </x:c>
    </x:row>
    <x:row r="13" ht="21.75" customHeight="1">
      <x:c r="B13" s="15" t="s">
        <x:v>93</x:v>
      </x:c>
      <x:c r="C13" s="18">
        <x:v>10.0</x:v>
      </x:c>
      <x:c r="D13" s="20" t="n">
        <x:f>COUNTA('Matriz Analítica'!N3:N22)</x:f>
        <x:v>12</x:v>
      </x:c>
      <x:c r="E13" s="20" t="str">
        <x:f t="shared" si="2">IF($D$13&gt;=$C$13,"OK","Faltam "&amp;($C$13-$D$13))</x:f>
        <x:v>OK</x:v>
      </x:c>
    </x:row>
    <x:row r="14" ht="21.75" customHeight="1">
      <x:c r="B14" s="15" t="s">
        <x:v>94</x:v>
      </x:c>
      <x:c r="C14" s="18">
        <x:v>3.0</x:v>
      </x:c>
      <x:c r="D14" s="20" t="n">
        <x:f>COUNTIF('Matriz Analítica'!O3:O22,"Integral")</x:f>
        <x:v>3</x:v>
      </x:c>
      <x:c r="E14" s="20" t="str">
        <x:f t="shared" si="2">IF($D$14&gt;=$C$14,"OK","Faltam "&amp;($C$14-$D$14))</x:f>
        <x:v>OK</x:v>
      </x:c>
    </x:row>
    <x:row r="16">
      <x:c r="B16" s="22" t="s">
        <x:v>95</x:v>
      </x:c>
    </x:row>
    <x:row r="17">
      <x:c r="B17" s="9" t="s">
        <x:v>96</x:v>
      </x:c>
    </x:row>
    <x:row r="18">
      <x:c r="B18" s="9" t="s">
        <x:v>97</x:v>
      </x:c>
    </x:row>
    <x:row r="19">
      <x:c r="B19" s="9" t="s">
        <x:v>98</x:v>
      </x:c>
    </x:row>
    <x:row r="21" ht="15.75" customHeight="1">
      <x:c r="B21" s="52" t="str">
        <x:v>Leituras registradas na preparação assistida. Os estudantes devem validar a leitura pessoal antes da entrega.</x:v>
      </x:c>
      <x:c r="C21" s="52"/>
      <x:c r="D21" s="52"/>
      <x:c r="E21" s="52"/>
    </x:row>
    <x:row r="22" ht="15.75" customHeight="1">
      <x:c r="B22" s="52"/>
      <x:c r="C22" s="52"/>
      <x:c r="D22" s="52"/>
      <x:c r="E22" s="52"/>
    </x:row>
    <x:row r="23" ht="15.75" customHeight="1">
      <x:c r="B23" s="52"/>
      <x:c r="C23" s="52"/>
      <x:c r="D23" s="52"/>
      <x:c r="E23" s="52"/>
    </x:row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21:E23"/>
  </x:mergeCells>
  <x:pageMargins left="0.7" right="0.7" top="0.75" bottom="0.75" header="0.3" footer="0.3"/>
</x:worksheet>
</file>