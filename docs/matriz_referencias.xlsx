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ções" sheetId="1" r:id="rId5"/>
    <sheet state="visible" name="Matriz Analítica" sheetId="2" r:id="rId6"/>
    <sheet state="visible" name="Cruzamento" sheetId="3" r:id="rId7"/>
    <sheet state="visible" name="Verificação" sheetId="4" r:id="rId8"/>
  </sheets>
  <definedNames/>
  <calcPr/>
</workbook>
</file>

<file path=xl/sharedStrings.xml><?xml version="1.0" encoding="utf-8"?>
<sst xmlns="http://schemas.openxmlformats.org/spreadsheetml/2006/main" count="344" uniqueCount="225">
  <si>
    <t>VERIFICAÇÃO AUTOMÁTICA DO ACERVO</t>
  </si>
  <si>
    <t>MATRIZ DE CRUZAMENTO — conceito × referência</t>
  </si>
  <si>
    <t>Confira esta aba antes de entregar. As colunas verdes são calculadas sozinhas.</t>
  </si>
  <si>
    <t>MATRIZ DE REFERÊNCIAS</t>
  </si>
  <si>
    <t>Ano-limite para «publicação recente» (últimos 5 anos):</t>
  </si>
  <si>
    <t>Renomeie os cabeçalhos «Conceito 1…8» com os conceitos-chave do seu tema (ex.: limite inferior, recorrência, prova de corretude, instâncias reais, heurística, garantia de desempenho). Marque X onde a referência cobre o conceito.</t>
  </si>
  <si>
    <t>Como usar</t>
  </si>
  <si>
    <t>Aba «Matriz Analítica»</t>
  </si>
  <si>
    <t>ID</t>
  </si>
  <si>
    <t>Ajuste conforme o ano letivo.</t>
  </si>
  <si>
    <t>Critério</t>
  </si>
  <si>
    <t>Exigido</t>
  </si>
  <si>
    <t>Atual</t>
  </si>
  <si>
    <t>Situação</t>
  </si>
  <si>
    <t>Referência (automática)</t>
  </si>
  <si>
    <t>Priorização</t>
  </si>
  <si>
    <t>Total de referências</t>
  </si>
  <si>
    <t>Cobertura</t>
  </si>
  <si>
    <t>Custos / tempo</t>
  </si>
  <si>
    <t>Detecção / métricas</t>
  </si>
  <si>
    <t>Referência completa (SBC)</t>
  </si>
  <si>
    <t>Complexidade</t>
  </si>
  <si>
    <t>Uma linha por referência lida. A linha 2 é um EXEMPLO preenchido — não apague, use de modelo. Preencha a partir da linha 3.</t>
  </si>
  <si>
    <t>Experimentos</t>
  </si>
  <si>
    <t>Tipo</t>
  </si>
  <si>
    <t>Limites / garantias</t>
  </si>
  <si>
    <t>Contexto industrial</t>
  </si>
  <si>
    <t>Veículo (periódico ou evento)</t>
  </si>
  <si>
    <t>Aba «Cruzamento»</t>
  </si>
  <si>
    <t>Ano</t>
  </si>
  <si>
    <t>R01</t>
  </si>
  <si>
    <t>Qualificação (Qualis / JCR / conferência)</t>
  </si>
  <si>
    <t>Renomeie os cabeçalhos «Conceito 1…8» com os conceitos-chave do seu tema e marque X onde a referência cobre o conceito. A coluna de referência é preenchida automaticamente.</t>
  </si>
  <si>
    <t>Eixo da ementa</t>
  </si>
  <si>
    <t>Aba «Verificação»</t>
  </si>
  <si>
    <t>Confere sozinha se o acervo atende aos mínimos exigidos. Confira antes de entregar.</t>
  </si>
  <si>
    <t>Problema abordado (entrada → saída)</t>
  </si>
  <si>
    <t>Entrega</t>
  </si>
  <si>
    <t>Paradigma / técnica</t>
  </si>
  <si>
    <t>Este arquivo em .xlsx MAIS a matriz exportada em PDF como anexo do artigo parcial.</t>
  </si>
  <si>
    <t>Complexidade, fator de aproximação ou classe/redução</t>
  </si>
  <si>
    <t>Requisitos mínimos do acervo</t>
  </si>
  <si>
    <t>Tipo de validação</t>
  </si>
  <si>
    <t>Principais resultados (com suas palavras)</t>
  </si>
  <si>
    <t>Limitações e lacunas</t>
  </si>
  <si>
    <t>•</t>
  </si>
  <si>
    <t>Uso no nosso artigo (seção e finalidade)</t>
  </si>
  <si>
    <t>10 referências no total.</t>
  </si>
  <si>
    <t>Nível de leitura</t>
  </si>
  <si>
    <t>Pelo menos 5 artigos científicos revisados por pares (periódico ou conferência).</t>
  </si>
  <si>
    <t>Pelo menos 2 publicações dos últimos 5 anos.</t>
  </si>
  <si>
    <t>EX</t>
  </si>
  <si>
    <t>Pelo menos 1 artigo seminal / clássico do eixo escolhido.</t>
  </si>
  <si>
    <t>Livros-texto (CLRS, Kleinberg &amp; Tardos, Sedgewick, Vazirani, Garey &amp; Johnson etc.): no máximo 3 das 10.</t>
  </si>
  <si>
    <t>Blogs, vídeos, fóruns e saídas de IA generativa não entram na cota (podem ser citados fora dela).</t>
  </si>
  <si>
    <t>Toda referência listada precisa ter sido efetivamente lida e ser localizável. Referência fabricada anula o entregável.</t>
  </si>
  <si>
    <t>Onde buscar</t>
  </si>
  <si>
    <t>Portal de Periódicos CAPES · ACM Digital Library · IEEE Xplore · SpringerLink · DBLP · Google Scholar · arXiv (cs.DS) · Biblioteca Digital da SBC (SOL)</t>
  </si>
  <si>
    <t>Legenda de cores</t>
  </si>
  <si>
    <t>CHVÁTAL, V. A greedy heuristic for the set-covering problem. Mathematics of Operations Research, v. 4, n. 3, p. 233-235, 1979.</t>
  </si>
  <si>
    <t>Artigo de periódico</t>
  </si>
  <si>
    <t>Mathematics of Operations Research</t>
  </si>
  <si>
    <t>Periódico A1 (Pesquisa Operacional)</t>
  </si>
  <si>
    <t>E5 / E7</t>
  </si>
  <si>
    <t>Cabeçalho de coluna — não alterar.</t>
  </si>
  <si>
    <t>Dado um universo de elementos e uma família de subconjuntos com custos, escolher a subfamília de custo mínimo que cobre todos os elementos.</t>
  </si>
  <si>
    <t>Guloso com análise de razão de aproximação</t>
  </si>
  <si>
    <t>Tempo polinomial; razão de aproximação H(n) ≈ ln n</t>
  </si>
  <si>
    <t>Prova formal</t>
  </si>
  <si>
    <t>A escolha gulosa por melhor custo-benefício garante solução no máximo H(n) vezes pior que a ótima, e esse limite é essencialmente justo.</t>
  </si>
  <si>
    <t>Não trata variantes com restrição de capacidade; não apresenta avaliação experimental em instâncias reais.</t>
  </si>
  <si>
    <t>Seção 2.3 (garantia teórica) e Seção 3 (baseline de comparação).</t>
  </si>
  <si>
    <t>Integral</t>
  </si>
  <si>
    <t>Linha de exemplo — não alterar.</t>
  </si>
  <si>
    <t>Rothermel, G., Untch, R. H., Chu, C. e Harrold, M. J. (2001). Prioritizing Test Cases for Regression Testing. IEEE Transactions on Software Engineering, 27(10):929–948. DOI: https://doi.org/10.1109/32.962562.</t>
  </si>
  <si>
    <t>X</t>
  </si>
  <si>
    <t>Célula branca — é o que vocês preenchem.</t>
  </si>
  <si>
    <t>R02</t>
  </si>
  <si>
    <t>Célula com fórmula — preenchimento automático, não digitar.</t>
  </si>
  <si>
    <t>Nota desta versão</t>
  </si>
  <si>
    <t>O PDF do projeto exige SBC; prevalece sobre o rótulo ABNT do modelo. A linha EX é preservada como exemplo, fora das contagens. Os níveis descrevem a consulta na preparação assistida, não comprovam leitura pessoal dos estudantes. Antes da entrega, os autores devem ler, validar e atualizar os níveis. O acervo principal contém 12 artigos. R13 fica somente na lista complementar de links, pois os capítulos não foram lidos. Nenhum Qualis/JCR foi inferido.</t>
  </si>
  <si>
    <t>R03</t>
  </si>
  <si>
    <t>Artigos revisados por pares (periódico ou conferência)</t>
  </si>
  <si>
    <t>R04</t>
  </si>
  <si>
    <t>IEEE Transactions on Software Engineering</t>
  </si>
  <si>
    <t>Não classificado nesta matriz; sem atribuição de Qualis/JCR.</t>
  </si>
  <si>
    <t>R05</t>
  </si>
  <si>
    <t>E5 / E1</t>
  </si>
  <si>
    <t>Suíte e informações de execução → permutação dos testes.</t>
  </si>
  <si>
    <t>Cobertura total, adicional e potencial de revelar falhas.</t>
  </si>
  <si>
    <t>Não extraída do resumo; não atribuir uma ordem assintótica sem consultar o texto.</t>
  </si>
  <si>
    <t>Experimentos com suítes e programas.</t>
  </si>
  <si>
    <t>As técnicas anteciparam a detecção nos programas estudados. Permanecem compromissos entre custo e eficácia.</t>
  </si>
  <si>
    <t>Resumo consultado; magnitude e condições exigem leitura integral.</t>
  </si>
  <si>
    <t>Introdução: definição e motivação da priorização.</t>
  </si>
  <si>
    <t>Publicações dos últimos 5 anos</t>
  </si>
  <si>
    <t>Apenas resumo</t>
  </si>
  <si>
    <t>Elbaum, S., Malishevsky, A. G. e Rothermel, G. (2001). Incorporating Varying Test Costs and Fault Severities into Test Case Prioritization. Proceedings of the 23rd International Conference on Software Engineering (ICSE), p. 329–338. DOI: https://doi.org/10.1109/ICSE.2001.919106.</t>
  </si>
  <si>
    <t>R06</t>
  </si>
  <si>
    <t>Artigo de conferência</t>
  </si>
  <si>
    <t>Proceedings of the 23rd International Conference on Software Engineering (ICSE)</t>
  </si>
  <si>
    <t>E5</t>
  </si>
  <si>
    <t>Suíte com custos e severidades distintos → avaliação e priorização.</t>
  </si>
  <si>
    <t>Livros e capítulos de livro (limite máximo)</t>
  </si>
  <si>
    <t>Priorização sensível a custo e severidade.</t>
  </si>
  <si>
    <t>Complexidade não verificada no texto integral.</t>
  </si>
  <si>
    <t>Estudo empírico.</t>
  </si>
  <si>
    <t>Considerar custos e severidades altera a avaliação da ordem dos testes.</t>
  </si>
  <si>
    <t>Texto integral indisponível na consulta; não usar para afirmações quantitativas.</t>
  </si>
  <si>
    <t>Fundamentação: motivação da avaliação temporal.</t>
  </si>
  <si>
    <t>R07</t>
  </si>
  <si>
    <t>Elbaum, S., Malishevsky, A. G. e Rothermel, G. (2002). Test Case Prioritization: A Family of Empirical Studies. IEEE Transactions on Software Engineering, 28(2):159–182. DOI: https://doi.org/10.1109/32.988497.</t>
  </si>
  <si>
    <t>Suítes e informações de versões → ordens avaliadas empiricamente.</t>
  </si>
  <si>
    <t>Comparação de técnicas de priorização.</t>
  </si>
  <si>
    <t>Não verificada no texto integral.</t>
  </si>
  <si>
    <t>Família de estudos empíricos.</t>
  </si>
  <si>
    <t>Investiga fatores que influenciam a eficácia da priorização e a comparação de técnicas.</t>
  </si>
  <si>
    <t>Consulta ao resumo não permite reproduzir integralmente o protocolo.</t>
  </si>
  <si>
    <t>R08</t>
  </si>
  <si>
    <t>Trabalhos relacionados: variação de eficácia entre contextos.</t>
  </si>
  <si>
    <t>Li, Z., Harman, M. e Hierons, R. M. (2007). Search Algorithms for Regression Test Case Prioritization. IEEE Transactions on Software Engineering, 33(4):225–237. DOI: https://doi.org/10.1109/TSE.2007.38.</t>
  </si>
  <si>
    <t>Cobertura de n testes em m elementos → ordenação completa.</t>
  </si>
  <si>
    <t>Guloso total, adicional, 2-optimal, hill climbing e genético.</t>
  </si>
  <si>
    <t>Total O(nm+n log n); adicional O(n²m); 2-optimal O(n³m), na notação adotada.</t>
  </si>
  <si>
    <t>Seis programas C; métricas de antecipação de cobertura.</t>
  </si>
  <si>
    <t>Adicional e 2-optimal tiveram bom desempenho. Cobrir tudo cedo e maximizar a área acumulada podem produzir preferências diferentes.</t>
  </si>
  <si>
    <t>O objetivo empírico é cobertura; não equivale diretamente à detecção de defeitos.</t>
  </si>
  <si>
    <t>Fundamentação e análise: baselines, reinício e limites.</t>
  </si>
  <si>
    <t>R09</t>
  </si>
  <si>
    <t>Parcial</t>
  </si>
  <si>
    <t>Referências com complexidade/garantia preenchida</t>
  </si>
  <si>
    <t>Walcott, K. R., Soffa, M. L., Kapfhammer, G. M. e Roos, R. S. (2006). TimeAware Test Suite Prioritization. Proceedings of the International Symposium on Software Testing and Analysis (ISSTA), p. 1–12. DOI: https://doi.org/10.1145/1146238.1146240.</t>
  </si>
  <si>
    <t>Proceedings of the International Symposium on Software Testing and Analysis (ISSTA)</t>
  </si>
  <si>
    <t>Testes, cobertura e limite temporal → solução de teste orientada ao orçamento.</t>
  </si>
  <si>
    <t>R10</t>
  </si>
  <si>
    <t>Algoritmo genético com informação temporal.</t>
  </si>
  <si>
    <t>Sem garantia de ótimo global; complexidade não consolidada nesta leitura.</t>
  </si>
  <si>
    <t>Experimentos comparativos.</t>
  </si>
  <si>
    <t>Integra duração ao problema de priorização sob tempo limitado.</t>
  </si>
  <si>
    <t>Método genético difere do guloso completo implementado neste projeto.</t>
  </si>
  <si>
    <t>Relacionados: orçamento temporal e comparação de objetivos.</t>
  </si>
  <si>
    <t>Di Nardo, D., Alshahwan, N., Briand, L. e Labiche, Y. (2015). Coverage-based Regression Test Case Selection, Minimization and Prioritization: A Case Study on an Industrial System. Software Testing, Verification and Reliability, 25(4):371–396. DOI: https://doi.org/10.1002/stvr.1572.</t>
  </si>
  <si>
    <t>Software Testing, Verification and Reliability</t>
  </si>
  <si>
    <t>R11</t>
  </si>
  <si>
    <t>Suíte industrial e cobertura → seleção, redução ou reordenação.</t>
  </si>
  <si>
    <t>Comparação de três modalidades de teste de regressão.</t>
  </si>
  <si>
    <t>Referências com uso no artigo definido</t>
  </si>
  <si>
    <t>Não verificada no texto integral; modalidades têm objetivos distintos.</t>
  </si>
  <si>
    <t>Estudo de caso industrial.</t>
  </si>
  <si>
    <t>Examina empiricamente técnicas de cobertura em um contexto industrial.</t>
  </si>
  <si>
    <t>Um contexto industrial não representa todos os sistemas; detalhes além do resumo não utilizados.</t>
  </si>
  <si>
    <t>Relacionados: distinguir priorização de seleção e minimização.</t>
  </si>
  <si>
    <t>Chvátal, V. (1979). A Greedy Heuristic for the Set-Covering Problem. Mathematics of Operations Research, 4(3):233–235. DOI: https://doi.org/10.1287/moor.4.3.233.</t>
  </si>
  <si>
    <t>R12</t>
  </si>
  <si>
    <t>Universo, subconjuntos e custos positivos → cobertura de custo mínimo aproximada.</t>
  </si>
  <si>
    <t>Guloso por novos elementos por unidade de custo.</t>
  </si>
  <si>
    <t>Referências lidas na íntegra</t>
  </si>
  <si>
    <t>Razão H(d), d = maior cardinalidade de um conjunto; H(d) ≤ 1 + ln d.</t>
  </si>
  <si>
    <t>Prova matemática.</t>
  </si>
  <si>
    <t>Limita a razão entre o custo guloso e o ótimo na cobertura de conjuntos.</t>
  </si>
  <si>
    <t>A garantia não se transfere automaticamente à ordenação completa nem a APFD/APFDc.</t>
  </si>
  <si>
    <t>Fundamentação: clássico do eixo E5 e limite de transferência da garantia.</t>
  </si>
  <si>
    <t>R13</t>
  </si>
  <si>
    <t>Li, F., Zhou, J., Li, Y., Hao, D. e Zhang, L. (2022). AGA: An Accelerated Greedy Additional Algorithm for Test Case Prioritization. IEEE Transactions on Software Engineering, 48(12):5102–5119. DOI: https://doi.org/10.1109/TSE.2021.3137929.</t>
  </si>
  <si>
    <t>Matriz de cobertura → priorização adicional acelerada.</t>
  </si>
  <si>
    <t>Guloso adicional com aceleração.</t>
  </si>
  <si>
    <t>Autores: O(m²n) → O(kmn), com m testes e n elementos, n &gt; m; notação diferente deste projeto.</t>
  </si>
  <si>
    <t>R14</t>
  </si>
  <si>
    <t>Lembretes finais</t>
  </si>
  <si>
    <t>55 projetos abertos e 22 industriais.</t>
  </si>
  <si>
    <t>Relata aceleração média de 5,95× e 44,27×, respectivamente, preservando a eficácia média.</t>
  </si>
  <si>
    <t>Números pertencem aos conjuntos do artigo, não ao MiniPedidos.</t>
  </si>
  <si>
    <t>Relacionados e futuro: reduzir o custo de priorização.</t>
  </si>
  <si>
    <t>• Exportar também em PDF e anexar ao artigo parcial.</t>
  </si>
  <si>
    <t>• Cada referência da matriz precisa aparecer citada no texto do artigo.</t>
  </si>
  <si>
    <t>Zhang, Q., Fang, C., Sun, W., Yu, S., Xu, Y. e Liu, Y. (2022). Test Case Prioritization Using Partial Attention. Journal of Systems and Software, 192:111419. DOI: https://doi.org/10.1016/j.jss.2022.111419.</t>
  </si>
  <si>
    <t>Journal of Systems and Software</t>
  </si>
  <si>
    <t>• Preencher a análise da lacuna na aba «Cruzamento» — ela vale nota.</t>
  </si>
  <si>
    <t>R15</t>
  </si>
  <si>
    <t>Leituras registradas na preparação assistida. Os estudantes devem validar a leitura pessoal antes da entrega.</t>
  </si>
  <si>
    <t>Informações dos testes → ordenação por modelo de atenção.</t>
  </si>
  <si>
    <t>Aprendizado com atenção parcial.</t>
  </si>
  <si>
    <t>Complexidade não derivada nesta leitura parcial; não atribuir a do guloso.</t>
  </si>
  <si>
    <t>Avaliação experimental comparativa.</t>
  </si>
  <si>
    <t>Explora atenção parcial como alternativa às heurísticas tradicionais de ordenação.</t>
  </si>
  <si>
    <t>Treino e infraestrutura ampliam o escopo; não reproduzidos neste projeto.</t>
  </si>
  <si>
    <t>R16</t>
  </si>
  <si>
    <t>Relacionados: alternativa recente e justificativa do recorte guloso.</t>
  </si>
  <si>
    <t>Ahmed, F. S., Majeed, A., Khan, T. A. e Bhatti, S. N. (2022). Value-based cost-cognizant test case prioritization for regression testing. PLOS ONE, 17(5):e0264972. DOI: https://doi.org/10.1371/journal.pone.0264972.</t>
  </si>
  <si>
    <t>PLOS ONE</t>
  </si>
  <si>
    <t>Literatura sobre custo e valor → síntese de técnicas e métricas.</t>
  </si>
  <si>
    <t>Revisão sistemática.</t>
  </si>
  <si>
    <t>Não propõe uma única complexidade ou garantia; depende dos métodos revisados.</t>
  </si>
  <si>
    <t>Revisão: 165 trabalhos examinados, 21 selecionados.</t>
  </si>
  <si>
    <t>Sistematiza técnicas, fatores de custo/valor e métricas de avaliação.</t>
  </si>
  <si>
    <t>Síntese de estudos heterogêneos; não prova superioridade universal de um método.</t>
  </si>
  <si>
    <t>Fundamentação: custo, métricas e limites de comparação.</t>
  </si>
  <si>
    <t>R17</t>
  </si>
  <si>
    <t>Inozemtseva, L. e Holmes, R. (2014). Coverage Is Not Strongly Correlated with Test Suite Effectiveness. Proceedings of the 36th International Conference on Software Engineering (ICSE), p. 435–445. DOI: https://doi.org/10.1145/2568225.2568271.</t>
  </si>
  <si>
    <t>Proceedings of the 36th International Conference on Software Engineering (ICSE)</t>
  </si>
  <si>
    <t>E1 / E5</t>
  </si>
  <si>
    <t>Suítes Java → relação entre tamanho, cobertura e detecção de mutantes.</t>
  </si>
  <si>
    <t>Estudo empírico com controle do tamanho das suítes.</t>
  </si>
  <si>
    <t>Não é proposta de algoritmo; sem garantia assintótica aplicável.</t>
  </si>
  <si>
    <t>31 mil suítes em cinco sistemas Java.</t>
  </si>
  <si>
    <t>A correlação cobertura–eficácia enfraquece ao controlar o tamanho da suíte. Cobertura alta não assegura detecção alta.</t>
  </si>
  <si>
    <t>R18</t>
  </si>
  <si>
    <t>Mutantes, sistemas Java e critérios de amostragem limitam a generalização.</t>
  </si>
  <si>
    <t>Metodologia e discussão: avaliar defeitos separadamente da cobertura.</t>
  </si>
  <si>
    <t>Just, R., Jalali, D., Inozemtseva, L., Ernst, M. D., Holmes, R. e Fraser, G. (2014). Are Mutants a Valid Substitute for Real Faults in Software Testing?. Proceedings of the 22nd ACM SIGSOFT International Symposium on Foundations of Software Engineering (FSE), p. 654–665. DOI: https://doi.org/10.1145/2635868.2635929.</t>
  </si>
  <si>
    <t>Proceedings of the 22nd ACM SIGSOFT International Symposium on Foundations of Software Engineering (FSE)</t>
  </si>
  <si>
    <t>R19</t>
  </si>
  <si>
    <t>E1</t>
  </si>
  <si>
    <t>Testes, mutantes e defeitos reais → análise de associação de detecção.</t>
  </si>
  <si>
    <t>Comparação empírica com controle de cobertura.</t>
  </si>
  <si>
    <t>Não propõe priorizador; sem complexidade única ou garantia de equivalência.</t>
  </si>
  <si>
    <t>357 defeitos reais em cinco programas Java.</t>
  </si>
  <si>
    <t>Encontra associação entre detecção de mutantes e defeitos reais no contexto estudado.</t>
  </si>
  <si>
    <t>Associação não torna quaisquer mutantes equivalentes a defeitos reais.</t>
  </si>
  <si>
    <t>Ameaças à validade: limites dos defeitos artificiais.</t>
  </si>
  <si>
    <t>R20</t>
  </si>
  <si>
    <t>Cobertura (nº de referências por conceito)</t>
  </si>
  <si>
    <t>Análise da lacuna</t>
  </si>
  <si>
    <t>Escreva de 5 a 8 linhas: qual conceito ficou com cobertura vazia ou fraca na linha «Cobertura» acima, e como o artigo do grupo vai tratar essa lacuna? Este parágrafo é a base da justificativa da Introdução.</t>
  </si>
  <si>
    <t>Os estudos oferecem heurísticas de cobertura, métodos sensíveis ao tempo e alternativas recentes de aceleração ou aprendizado.
Esses resultados não determinam qual estratégia compensa em uma suíte de funções muito curtas.
Neste recorte, o próprio cálculo da ordem pode dominar a duração dos testes.
A contribuição é uma comparação reprodutível de seis estratégias, preservando todos os testes de cada instância.
Cobertura, detecção de defeitos artificiais e custo da priorização serão avaliados separadamente.
A lacuna é local e didática, sem reivindicar novidade geral na área.
A avaliação industrial e com defeitos naturais permanece como extensão necessária.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</si>
</sst>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4.0"/>
      <color rgb="FF1F3864"/>
      <name val="Arial"/>
    </font>
    <font>
      <i/>
      <sz val="9.0"/>
      <color theme="1"/>
      <name val="Arial"/>
    </font>
    <font>
      <sz val="10.0"/>
      <color theme="1"/>
      <name val="Arial"/>
    </font>
    <font>
      <b/>
      <sz val="11.0"/>
      <color rgb="FF1F3864"/>
      <name val="Arial"/>
    </font>
    <font>
      <b/>
      <sz val="10.0"/>
      <color theme="1"/>
      <name val="Arial"/>
    </font>
    <font>
      <b/>
      <sz val="10.0"/>
      <color rgb="FF0000FF"/>
      <name val="Arial"/>
    </font>
    <font>
      <b/>
      <sz val="10.0"/>
      <color rgb="FFFFFFFF"/>
      <name val="Arial"/>
    </font>
    <font>
      <i/>
      <sz val="9.0"/>
      <color rgb="FF595959"/>
      <name val="Arial"/>
    </font>
    <font>
      <sz val="9.0"/>
      <color theme="1"/>
      <name val="Arial"/>
    </font>
    <font>
      <color theme="1"/>
      <name val="Calibri"/>
      <scheme val="minor"/>
    </font>
    <font>
      <sz val="11.0"/>
      <color theme="1"/>
      <name val="Calibri"/>
    </font>
    <font/>
  </fonts>
  <fills count="8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left style="thin">
        <color rgb="FFBFBFBF"/>
      </left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0" xfId="0" applyAlignment="1" applyFont="1">
      <alignment shrinkToFit="0" vertical="top" wrapText="1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1" fillId="2" fontId="6" numFmtId="0" xfId="0" applyAlignment="1" applyBorder="1" applyFill="1" applyFont="1">
      <alignment horizontal="center" shrinkToFit="0" vertical="center" wrapText="1"/>
    </xf>
    <xf borderId="1" fillId="3" fontId="7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1" fillId="0" fontId="3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4" fontId="8" numFmtId="0" xfId="0" applyAlignment="1" applyBorder="1" applyFill="1" applyFont="1">
      <alignment shrinkToFit="0" vertical="top" wrapText="1"/>
    </xf>
    <xf borderId="1" fillId="5" fontId="3" numFmtId="0" xfId="0" applyAlignment="1" applyBorder="1" applyFill="1" applyFont="1">
      <alignment shrinkToFit="0" vertical="top" wrapText="1"/>
    </xf>
    <xf borderId="1" fillId="4" fontId="3" numFmtId="0" xfId="0" applyAlignment="1" applyBorder="1" applyFill="1" applyFont="1">
      <alignment shrinkToFit="0" vertical="top" wrapText="1"/>
    </xf>
    <xf borderId="1" fillId="0" fontId="5" numFmtId="0" xfId="0" applyAlignment="1" applyBorder="1" applyFont="1">
      <alignment shrinkToFit="0" vertical="top" wrapText="1"/>
    </xf>
    <xf borderId="1" fillId="6" fontId="9" numFmtId="0" xfId="0" applyAlignment="1" applyBorder="1" applyFill="1" applyFont="1">
      <alignment shrinkToFit="0" vertical="top" wrapText="1"/>
    </xf>
    <xf borderId="1" fillId="6" fontId="5" numFmtId="0" xfId="0" applyAlignment="1" applyBorder="1" applyFill="1" applyFont="1">
      <alignment horizontal="center" shrinkToFit="0" vertical="center" wrapText="1"/>
    </xf>
    <xf borderId="1" fillId="7" fontId="3" numFmtId="0" xfId="0" applyAlignment="1" applyBorder="1" applyFill="1" applyFont="1">
      <alignment shrinkToFit="0" vertical="top" wrapText="1"/>
    </xf>
    <xf borderId="1" fillId="6" fontId="3" numFmtId="0" xfId="0" applyAlignment="1" applyBorder="1" applyFill="1" applyFont="1">
      <alignment shrinkToFit="0" vertical="top" wrapText="1"/>
    </xf>
    <xf borderId="0" fillId="0" fontId="10" numFmtId="0" xfId="0" applyFont="1"/>
    <xf borderId="0" fillId="0" fontId="11" numFmtId="0" xfId="0" applyAlignment="1" applyFont="1">
      <alignment shrinkToFit="0" vertical="bottom" wrapText="1"/>
    </xf>
    <xf borderId="1" fillId="0" fontId="3" numFmtId="0" xfId="0" applyAlignment="1" applyBorder="1" applyFont="1">
      <alignment readingOrder="0" shrinkToFit="0" vertical="top" wrapText="1"/>
    </xf>
    <xf borderId="0" fillId="0" fontId="4" numFmtId="0" xfId="0" applyAlignment="1" applyFont="1">
      <alignment shrinkToFit="0" vertical="bottom" wrapText="0"/>
    </xf>
    <xf borderId="0" fillId="2" fontId="11" numFmtId="0" xfId="0" applyAlignment="1" applyFill="1" applyFont="1">
      <alignment shrinkToFit="0" vertical="center" wrapText="1"/>
    </xf>
    <xf borderId="0" fillId="0" fontId="5" numFmtId="0" xfId="0" applyAlignment="1" applyFont="1">
      <alignment horizontal="right" shrinkToFit="0" vertical="center" wrapText="0"/>
    </xf>
    <xf borderId="2" fillId="2" fontId="3" numFmtId="0" xfId="0" applyAlignment="1" applyBorder="1" applyFill="1" applyFont="1">
      <alignment shrinkToFit="0" vertical="top" wrapText="1"/>
    </xf>
    <xf borderId="3" fillId="0" fontId="12" numFmtId="0" xfId="0" applyBorder="1" applyFont="1"/>
    <xf borderId="4" fillId="0" fontId="1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95.0"/>
    <col customWidth="1" min="4" max="6" width="8.71"/>
  </cols>
  <sheetData>
    <row r="2">
      <c r="B2" s="3" t="s">
        <v>3</v>
      </c>
    </row>
    <row r="3">
      <c r="B3" s="5"/>
    </row>
    <row r="5">
      <c r="B5" s="6" t="s">
        <v>6</v>
      </c>
    </row>
    <row r="6" ht="30.0" customHeight="1">
      <c r="B6" s="7" t="s">
        <v>7</v>
      </c>
      <c r="C6" s="11" t="s">
        <v>22</v>
      </c>
    </row>
    <row r="7" ht="30.0" customHeight="1">
      <c r="B7" s="7" t="s">
        <v>28</v>
      </c>
      <c r="C7" s="11" t="s">
        <v>32</v>
      </c>
    </row>
    <row r="8" ht="30.0" customHeight="1">
      <c r="B8" s="7" t="s">
        <v>34</v>
      </c>
      <c r="C8" s="11" t="s">
        <v>35</v>
      </c>
    </row>
    <row r="9" ht="30.0" customHeight="1">
      <c r="B9" s="7" t="s">
        <v>37</v>
      </c>
      <c r="C9" s="11" t="s">
        <v>39</v>
      </c>
    </row>
    <row r="11">
      <c r="B11" s="6" t="s">
        <v>41</v>
      </c>
    </row>
    <row r="12">
      <c r="B12" s="7" t="s">
        <v>45</v>
      </c>
      <c r="C12" s="11" t="s">
        <v>47</v>
      </c>
    </row>
    <row r="13">
      <c r="B13" s="7" t="s">
        <v>45</v>
      </c>
      <c r="C13" s="11" t="s">
        <v>49</v>
      </c>
    </row>
    <row r="14">
      <c r="B14" s="7" t="s">
        <v>45</v>
      </c>
      <c r="C14" s="11" t="s">
        <v>50</v>
      </c>
    </row>
    <row r="15">
      <c r="B15" s="7" t="s">
        <v>45</v>
      </c>
      <c r="C15" s="11" t="s">
        <v>52</v>
      </c>
    </row>
    <row r="16">
      <c r="B16" s="7" t="s">
        <v>45</v>
      </c>
      <c r="C16" s="11" t="s">
        <v>53</v>
      </c>
    </row>
    <row r="17">
      <c r="B17" s="7" t="s">
        <v>45</v>
      </c>
      <c r="C17" s="11" t="s">
        <v>54</v>
      </c>
    </row>
    <row r="18">
      <c r="B18" s="7" t="s">
        <v>45</v>
      </c>
      <c r="C18" s="11" t="s">
        <v>55</v>
      </c>
    </row>
    <row r="20">
      <c r="B20" s="6" t="s">
        <v>56</v>
      </c>
    </row>
    <row r="21" ht="15.75" customHeight="1">
      <c r="C21" s="11" t="s">
        <v>57</v>
      </c>
    </row>
    <row r="22" ht="15.75" customHeight="1"/>
    <row r="23" ht="15.75" customHeight="1">
      <c r="B23" s="6" t="s">
        <v>58</v>
      </c>
    </row>
    <row r="24" ht="15.75" customHeight="1">
      <c r="B24" s="15"/>
      <c r="C24" s="11" t="s">
        <v>64</v>
      </c>
    </row>
    <row r="25" ht="15.75" customHeight="1">
      <c r="B25" s="16"/>
      <c r="C25" s="11" t="s">
        <v>73</v>
      </c>
    </row>
    <row r="26" ht="15.75" customHeight="1">
      <c r="B26" s="20"/>
      <c r="C26" s="11" t="s">
        <v>76</v>
      </c>
    </row>
    <row r="27" ht="15.75" customHeight="1">
      <c r="B27" s="21"/>
      <c r="C27" s="11" t="s">
        <v>78</v>
      </c>
    </row>
    <row r="28" ht="15.75" customHeight="1"/>
    <row r="29" ht="109.5" customHeight="1">
      <c r="B29" s="22" t="s">
        <v>79</v>
      </c>
      <c r="C29" s="23" t="s">
        <v>80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7.0"/>
    <col customWidth="1" min="2" max="2" width="52.0"/>
    <col customWidth="1" min="3" max="3" width="20.0"/>
    <col customWidth="1" min="4" max="4" width="26.0"/>
    <col customWidth="1" min="5" max="5" width="7.0"/>
    <col customWidth="1" min="6" max="6" width="20.0"/>
    <col customWidth="1" min="7" max="7" width="14.0"/>
    <col customWidth="1" min="8" max="8" width="34.0"/>
    <col customWidth="1" min="9" max="9" width="22.0"/>
    <col customWidth="1" min="10" max="10" width="30.0"/>
    <col customWidth="1" min="11" max="11" width="20.0"/>
    <col customWidth="1" min="12" max="12" width="34.0"/>
    <col customWidth="1" min="13" max="13" width="30.0"/>
    <col customWidth="1" min="14" max="14" width="28.0"/>
    <col customWidth="1" min="15" max="15" width="15.0"/>
  </cols>
  <sheetData>
    <row r="1" ht="42.0" customHeight="1">
      <c r="A1" s="9" t="s">
        <v>8</v>
      </c>
      <c r="B1" s="9" t="s">
        <v>20</v>
      </c>
      <c r="C1" s="9" t="s">
        <v>24</v>
      </c>
      <c r="D1" s="9" t="s">
        <v>27</v>
      </c>
      <c r="E1" s="9" t="s">
        <v>29</v>
      </c>
      <c r="F1" s="9" t="s">
        <v>31</v>
      </c>
      <c r="G1" s="9" t="s">
        <v>33</v>
      </c>
      <c r="H1" s="9" t="s">
        <v>36</v>
      </c>
      <c r="I1" s="9" t="s">
        <v>38</v>
      </c>
      <c r="J1" s="9" t="s">
        <v>40</v>
      </c>
      <c r="K1" s="9" t="s">
        <v>42</v>
      </c>
      <c r="L1" s="9" t="s">
        <v>43</v>
      </c>
      <c r="M1" s="9" t="s">
        <v>44</v>
      </c>
      <c r="N1" s="9" t="s">
        <v>46</v>
      </c>
      <c r="O1" s="9" t="s">
        <v>48</v>
      </c>
    </row>
    <row r="2" ht="69.75" customHeight="1">
      <c r="A2" s="14" t="s">
        <v>51</v>
      </c>
      <c r="B2" s="14" t="s">
        <v>59</v>
      </c>
      <c r="C2" s="14" t="s">
        <v>60</v>
      </c>
      <c r="D2" s="14" t="s">
        <v>61</v>
      </c>
      <c r="E2" s="14">
        <v>1979.0</v>
      </c>
      <c r="F2" s="14" t="s">
        <v>62</v>
      </c>
      <c r="G2" s="14" t="s">
        <v>63</v>
      </c>
      <c r="H2" s="14" t="s">
        <v>65</v>
      </c>
      <c r="I2" s="14" t="s">
        <v>66</v>
      </c>
      <c r="J2" s="14" t="s">
        <v>67</v>
      </c>
      <c r="K2" s="14" t="s">
        <v>68</v>
      </c>
      <c r="L2" s="14" t="s">
        <v>69</v>
      </c>
      <c r="M2" s="14" t="s">
        <v>70</v>
      </c>
      <c r="N2" s="14" t="s">
        <v>71</v>
      </c>
      <c r="O2" s="14" t="s">
        <v>72</v>
      </c>
    </row>
    <row r="3" ht="150.0" customHeight="1">
      <c r="A3" s="17" t="s">
        <v>30</v>
      </c>
      <c r="B3" s="10" t="s">
        <v>74</v>
      </c>
      <c r="C3" s="10" t="s">
        <v>60</v>
      </c>
      <c r="D3" s="10" t="s">
        <v>84</v>
      </c>
      <c r="E3" s="10">
        <v>2001.0</v>
      </c>
      <c r="F3" s="10" t="s">
        <v>85</v>
      </c>
      <c r="G3" s="10" t="s">
        <v>87</v>
      </c>
      <c r="H3" s="10" t="s">
        <v>88</v>
      </c>
      <c r="I3" s="10" t="s">
        <v>89</v>
      </c>
      <c r="J3" s="10" t="s">
        <v>90</v>
      </c>
      <c r="K3" s="10" t="s">
        <v>91</v>
      </c>
      <c r="L3" s="10" t="s">
        <v>92</v>
      </c>
      <c r="M3" s="10" t="s">
        <v>93</v>
      </c>
      <c r="N3" s="10" t="s">
        <v>94</v>
      </c>
      <c r="O3" s="10" t="s">
        <v>96</v>
      </c>
    </row>
    <row r="4" ht="150.0" customHeight="1">
      <c r="A4" s="17" t="s">
        <v>77</v>
      </c>
      <c r="B4" s="10" t="s">
        <v>97</v>
      </c>
      <c r="C4" s="10" t="s">
        <v>99</v>
      </c>
      <c r="D4" s="10" t="s">
        <v>100</v>
      </c>
      <c r="E4" s="10">
        <v>2001.0</v>
      </c>
      <c r="F4" s="10" t="s">
        <v>85</v>
      </c>
      <c r="G4" s="10" t="s">
        <v>101</v>
      </c>
      <c r="H4" s="10" t="s">
        <v>102</v>
      </c>
      <c r="I4" s="10" t="s">
        <v>104</v>
      </c>
      <c r="J4" s="10" t="s">
        <v>105</v>
      </c>
      <c r="K4" s="10" t="s">
        <v>106</v>
      </c>
      <c r="L4" s="10" t="s">
        <v>107</v>
      </c>
      <c r="M4" s="10" t="s">
        <v>108</v>
      </c>
      <c r="N4" s="10" t="s">
        <v>109</v>
      </c>
      <c r="O4" s="10" t="s">
        <v>96</v>
      </c>
    </row>
    <row r="5" ht="150.0" customHeight="1">
      <c r="A5" s="17" t="s">
        <v>81</v>
      </c>
      <c r="B5" s="10" t="s">
        <v>111</v>
      </c>
      <c r="C5" s="10" t="s">
        <v>60</v>
      </c>
      <c r="D5" s="10" t="s">
        <v>84</v>
      </c>
      <c r="E5" s="10">
        <v>2002.0</v>
      </c>
      <c r="F5" s="10" t="s">
        <v>85</v>
      </c>
      <c r="G5" s="10" t="s">
        <v>101</v>
      </c>
      <c r="H5" s="10" t="s">
        <v>112</v>
      </c>
      <c r="I5" s="10" t="s">
        <v>113</v>
      </c>
      <c r="J5" s="10" t="s">
        <v>114</v>
      </c>
      <c r="K5" s="10" t="s">
        <v>115</v>
      </c>
      <c r="L5" s="10" t="s">
        <v>116</v>
      </c>
      <c r="M5" s="10" t="s">
        <v>117</v>
      </c>
      <c r="N5" s="10" t="s">
        <v>119</v>
      </c>
      <c r="O5" s="10" t="s">
        <v>96</v>
      </c>
    </row>
    <row r="6" ht="150.0" customHeight="1">
      <c r="A6" s="17" t="s">
        <v>83</v>
      </c>
      <c r="B6" s="10" t="s">
        <v>120</v>
      </c>
      <c r="C6" s="10" t="s">
        <v>60</v>
      </c>
      <c r="D6" s="10" t="s">
        <v>84</v>
      </c>
      <c r="E6" s="10">
        <v>2007.0</v>
      </c>
      <c r="F6" s="10" t="s">
        <v>85</v>
      </c>
      <c r="G6" s="10" t="s">
        <v>87</v>
      </c>
      <c r="H6" s="10" t="s">
        <v>121</v>
      </c>
      <c r="I6" s="10" t="s">
        <v>122</v>
      </c>
      <c r="J6" s="10" t="s">
        <v>123</v>
      </c>
      <c r="K6" s="10" t="s">
        <v>124</v>
      </c>
      <c r="L6" s="10" t="s">
        <v>125</v>
      </c>
      <c r="M6" s="10" t="s">
        <v>126</v>
      </c>
      <c r="N6" s="10" t="s">
        <v>127</v>
      </c>
      <c r="O6" s="24" t="s">
        <v>129</v>
      </c>
    </row>
    <row r="7" ht="150.0" customHeight="1">
      <c r="A7" s="17" t="s">
        <v>86</v>
      </c>
      <c r="B7" s="10" t="s">
        <v>131</v>
      </c>
      <c r="C7" s="10" t="s">
        <v>99</v>
      </c>
      <c r="D7" s="10" t="s">
        <v>132</v>
      </c>
      <c r="E7" s="10">
        <v>2006.0</v>
      </c>
      <c r="F7" s="10" t="s">
        <v>85</v>
      </c>
      <c r="G7" s="10" t="s">
        <v>87</v>
      </c>
      <c r="H7" s="10" t="s">
        <v>133</v>
      </c>
      <c r="I7" s="10" t="s">
        <v>135</v>
      </c>
      <c r="J7" s="10" t="s">
        <v>136</v>
      </c>
      <c r="K7" s="10" t="s">
        <v>137</v>
      </c>
      <c r="L7" s="10" t="s">
        <v>138</v>
      </c>
      <c r="M7" s="10" t="s">
        <v>139</v>
      </c>
      <c r="N7" s="10" t="s">
        <v>140</v>
      </c>
      <c r="O7" s="10" t="s">
        <v>129</v>
      </c>
    </row>
    <row r="8" ht="150.0" customHeight="1">
      <c r="A8" s="17" t="s">
        <v>98</v>
      </c>
      <c r="B8" s="10" t="s">
        <v>141</v>
      </c>
      <c r="C8" s="10" t="s">
        <v>60</v>
      </c>
      <c r="D8" s="10" t="s">
        <v>142</v>
      </c>
      <c r="E8" s="10">
        <v>2015.0</v>
      </c>
      <c r="F8" s="10" t="s">
        <v>85</v>
      </c>
      <c r="G8" s="10" t="s">
        <v>101</v>
      </c>
      <c r="H8" s="10" t="s">
        <v>144</v>
      </c>
      <c r="I8" s="10" t="s">
        <v>145</v>
      </c>
      <c r="J8" s="10" t="s">
        <v>147</v>
      </c>
      <c r="K8" s="10" t="s">
        <v>148</v>
      </c>
      <c r="L8" s="10" t="s">
        <v>149</v>
      </c>
      <c r="M8" s="10" t="s">
        <v>150</v>
      </c>
      <c r="N8" s="10" t="s">
        <v>151</v>
      </c>
      <c r="O8" s="10" t="s">
        <v>96</v>
      </c>
    </row>
    <row r="9" ht="150.0" customHeight="1">
      <c r="A9" s="17" t="s">
        <v>110</v>
      </c>
      <c r="B9" s="10" t="s">
        <v>152</v>
      </c>
      <c r="C9" s="10" t="s">
        <v>60</v>
      </c>
      <c r="D9" s="10" t="s">
        <v>61</v>
      </c>
      <c r="E9" s="10">
        <v>1979.0</v>
      </c>
      <c r="F9" s="10" t="s">
        <v>85</v>
      </c>
      <c r="G9" s="10" t="s">
        <v>87</v>
      </c>
      <c r="H9" s="10" t="s">
        <v>154</v>
      </c>
      <c r="I9" s="10" t="s">
        <v>155</v>
      </c>
      <c r="J9" s="10" t="s">
        <v>157</v>
      </c>
      <c r="K9" s="10" t="s">
        <v>158</v>
      </c>
      <c r="L9" s="10" t="s">
        <v>159</v>
      </c>
      <c r="M9" s="10" t="s">
        <v>160</v>
      </c>
      <c r="N9" s="10" t="s">
        <v>161</v>
      </c>
      <c r="O9" s="10" t="s">
        <v>72</v>
      </c>
    </row>
    <row r="10" ht="150.0" customHeight="1">
      <c r="A10" s="17" t="s">
        <v>118</v>
      </c>
      <c r="B10" s="10" t="s">
        <v>163</v>
      </c>
      <c r="C10" s="10" t="s">
        <v>60</v>
      </c>
      <c r="D10" s="10" t="s">
        <v>84</v>
      </c>
      <c r="E10" s="10">
        <v>2022.0</v>
      </c>
      <c r="F10" s="10" t="s">
        <v>85</v>
      </c>
      <c r="G10" s="10" t="s">
        <v>87</v>
      </c>
      <c r="H10" s="10" t="s">
        <v>164</v>
      </c>
      <c r="I10" s="10" t="s">
        <v>165</v>
      </c>
      <c r="J10" s="10" t="s">
        <v>166</v>
      </c>
      <c r="K10" s="10" t="s">
        <v>169</v>
      </c>
      <c r="L10" s="10" t="s">
        <v>170</v>
      </c>
      <c r="M10" s="10" t="s">
        <v>171</v>
      </c>
      <c r="N10" s="10" t="s">
        <v>172</v>
      </c>
      <c r="O10" s="10" t="s">
        <v>129</v>
      </c>
    </row>
    <row r="11" ht="150.0" customHeight="1">
      <c r="A11" s="17" t="s">
        <v>128</v>
      </c>
      <c r="B11" s="10" t="s">
        <v>175</v>
      </c>
      <c r="C11" s="10" t="s">
        <v>60</v>
      </c>
      <c r="D11" s="10" t="s">
        <v>176</v>
      </c>
      <c r="E11" s="10">
        <v>2022.0</v>
      </c>
      <c r="F11" s="10" t="s">
        <v>85</v>
      </c>
      <c r="G11" s="10" t="s">
        <v>87</v>
      </c>
      <c r="H11" s="10" t="s">
        <v>180</v>
      </c>
      <c r="I11" s="10" t="s">
        <v>181</v>
      </c>
      <c r="J11" s="10" t="s">
        <v>182</v>
      </c>
      <c r="K11" s="10" t="s">
        <v>183</v>
      </c>
      <c r="L11" s="10" t="s">
        <v>184</v>
      </c>
      <c r="M11" s="10" t="s">
        <v>185</v>
      </c>
      <c r="N11" s="10" t="s">
        <v>187</v>
      </c>
      <c r="O11" s="10" t="s">
        <v>129</v>
      </c>
    </row>
    <row r="12" ht="150.0" customHeight="1">
      <c r="A12" s="17" t="s">
        <v>134</v>
      </c>
      <c r="B12" s="10" t="s">
        <v>188</v>
      </c>
      <c r="C12" s="10" t="s">
        <v>60</v>
      </c>
      <c r="D12" s="10" t="s">
        <v>189</v>
      </c>
      <c r="E12" s="10">
        <v>2022.0</v>
      </c>
      <c r="F12" s="10" t="s">
        <v>85</v>
      </c>
      <c r="G12" s="10" t="s">
        <v>101</v>
      </c>
      <c r="H12" s="10" t="s">
        <v>190</v>
      </c>
      <c r="I12" s="10" t="s">
        <v>191</v>
      </c>
      <c r="J12" s="10" t="s">
        <v>192</v>
      </c>
      <c r="K12" s="10" t="s">
        <v>193</v>
      </c>
      <c r="L12" s="10" t="s">
        <v>194</v>
      </c>
      <c r="M12" s="10" t="s">
        <v>195</v>
      </c>
      <c r="N12" s="10" t="s">
        <v>196</v>
      </c>
      <c r="O12" s="10" t="s">
        <v>129</v>
      </c>
    </row>
    <row r="13" ht="150.0" customHeight="1">
      <c r="A13" s="17" t="s">
        <v>143</v>
      </c>
      <c r="B13" s="10" t="s">
        <v>198</v>
      </c>
      <c r="C13" s="10" t="s">
        <v>99</v>
      </c>
      <c r="D13" s="10" t="s">
        <v>199</v>
      </c>
      <c r="E13" s="10">
        <v>2014.0</v>
      </c>
      <c r="F13" s="10" t="s">
        <v>85</v>
      </c>
      <c r="G13" s="10" t="s">
        <v>200</v>
      </c>
      <c r="H13" s="10" t="s">
        <v>201</v>
      </c>
      <c r="I13" s="10" t="s">
        <v>202</v>
      </c>
      <c r="J13" s="10" t="s">
        <v>203</v>
      </c>
      <c r="K13" s="10" t="s">
        <v>204</v>
      </c>
      <c r="L13" s="10" t="s">
        <v>205</v>
      </c>
      <c r="M13" s="10" t="s">
        <v>207</v>
      </c>
      <c r="N13" s="10" t="s">
        <v>208</v>
      </c>
      <c r="O13" s="10" t="s">
        <v>72</v>
      </c>
    </row>
    <row r="14" ht="150.0" customHeight="1">
      <c r="A14" s="17" t="s">
        <v>153</v>
      </c>
      <c r="B14" s="10" t="s">
        <v>209</v>
      </c>
      <c r="C14" s="10" t="s">
        <v>99</v>
      </c>
      <c r="D14" s="10" t="s">
        <v>210</v>
      </c>
      <c r="E14" s="10">
        <v>2014.0</v>
      </c>
      <c r="F14" s="10" t="s">
        <v>85</v>
      </c>
      <c r="G14" s="10" t="s">
        <v>212</v>
      </c>
      <c r="H14" s="10" t="s">
        <v>213</v>
      </c>
      <c r="I14" s="10" t="s">
        <v>214</v>
      </c>
      <c r="J14" s="10" t="s">
        <v>215</v>
      </c>
      <c r="K14" s="10" t="s">
        <v>216</v>
      </c>
      <c r="L14" s="10" t="s">
        <v>217</v>
      </c>
      <c r="M14" s="10" t="s">
        <v>218</v>
      </c>
      <c r="N14" s="10" t="s">
        <v>219</v>
      </c>
      <c r="O14" s="10" t="s">
        <v>129</v>
      </c>
    </row>
    <row r="15" ht="45.75" customHeight="1">
      <c r="A15" s="17" t="s">
        <v>162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ht="45.75" customHeight="1">
      <c r="A16" s="17" t="s">
        <v>167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</row>
    <row r="17" ht="45.75" customHeight="1">
      <c r="A17" s="17" t="s">
        <v>178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  <row r="18" ht="45.75" customHeight="1">
      <c r="A18" s="17" t="s">
        <v>186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</row>
    <row r="19" ht="45.75" customHeight="1">
      <c r="A19" s="17" t="s">
        <v>197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  <row r="20" ht="45.75" customHeight="1">
      <c r="A20" s="17" t="s">
        <v>206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  <row r="21" ht="45.75" customHeight="1">
      <c r="A21" s="17" t="s">
        <v>211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</row>
    <row r="22" ht="45.75" customHeight="1">
      <c r="A22" s="17" t="s">
        <v>220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22">
      <formula1>"E1,E2,E3,E4,E5,E6,E7"</formula1>
    </dataValidation>
    <dataValidation type="list" allowBlank="1" sqref="C3:C22">
      <formula1>"Artigo de periódico,Artigo de conferência,Livro,Capítulo de livro,Tese ou dissertação,Relatório técnico,Norma ou documentação,Outro"</formula1>
    </dataValidation>
    <dataValidation type="list" allowBlank="1" sqref="K3:K22">
      <formula1>"Prova formal,Experimento,Simulação,Benchmark público,Estudo de caso,Sem validação"</formula1>
    </dataValidation>
    <dataValidation type="list" allowBlank="1" sqref="O3:O22">
      <formula1>"Integral,Parcial,Apenas resumo"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0"/>
    <col customWidth="1" min="2" max="2" width="58.0"/>
    <col customWidth="1" min="3" max="10" width="15.0"/>
  </cols>
  <sheetData>
    <row r="1">
      <c r="A1" s="1" t="s">
        <v>1</v>
      </c>
    </row>
    <row r="2" ht="30.0" customHeight="1">
      <c r="A2" s="5" t="s">
        <v>5</v>
      </c>
    </row>
    <row r="4" ht="30.0" customHeight="1">
      <c r="A4" s="9" t="s">
        <v>8</v>
      </c>
      <c r="B4" s="9" t="s">
        <v>14</v>
      </c>
      <c r="C4" s="9" t="s">
        <v>15</v>
      </c>
      <c r="D4" s="9" t="s">
        <v>17</v>
      </c>
      <c r="E4" s="9" t="s">
        <v>18</v>
      </c>
      <c r="F4" s="9" t="s">
        <v>19</v>
      </c>
      <c r="G4" s="9" t="s">
        <v>21</v>
      </c>
      <c r="H4" s="9" t="s">
        <v>23</v>
      </c>
      <c r="I4" s="9" t="s">
        <v>25</v>
      </c>
      <c r="J4" s="9" t="s">
        <v>26</v>
      </c>
    </row>
    <row r="5" ht="108.0" customHeight="1">
      <c r="A5" s="13" t="s">
        <v>30</v>
      </c>
      <c r="B5" s="18" t="str">
        <f>IF('Matriz Analítica'!B3="","",'Matriz Analítica'!B3)</f>
        <v>Rothermel, G., Untch, R. H., Chu, C. e Harrold, M. J. (2001). Prioritizing Test Cases for Regression Testing. IEEE Transactions on Software Engineering, 27(10):929–948. DOI: https://doi.org/10.1109/32.962562.</v>
      </c>
      <c r="C5" s="12" t="s">
        <v>75</v>
      </c>
      <c r="D5" s="12" t="s">
        <v>75</v>
      </c>
      <c r="E5" s="12"/>
      <c r="F5" s="12" t="s">
        <v>75</v>
      </c>
      <c r="G5" s="12"/>
      <c r="H5" s="12" t="s">
        <v>75</v>
      </c>
      <c r="I5" s="12"/>
      <c r="J5" s="12"/>
    </row>
    <row r="6" ht="108.0" customHeight="1">
      <c r="A6" s="13" t="s">
        <v>77</v>
      </c>
      <c r="B6" s="18" t="str">
        <f>IF('Matriz Analítica'!B4="","",'Matriz Analítica'!B4)</f>
        <v>Elbaum, S., Malishevsky, A. G. e Rothermel, G. (2001). Incorporating Varying Test Costs and Fault Severities into Test Case Prioritization. Proceedings of the 23rd International Conference on Software Engineering (ICSE), p. 329–338. DOI: https://doi.org/10.1109/ICSE.2001.919106.</v>
      </c>
      <c r="C6" s="12" t="s">
        <v>75</v>
      </c>
      <c r="D6" s="12"/>
      <c r="E6" s="12" t="s">
        <v>75</v>
      </c>
      <c r="F6" s="12" t="s">
        <v>75</v>
      </c>
      <c r="G6" s="12"/>
      <c r="H6" s="12" t="s">
        <v>75</v>
      </c>
      <c r="I6" s="12"/>
      <c r="J6" s="12"/>
    </row>
    <row r="7" ht="108.0" customHeight="1">
      <c r="A7" s="13" t="s">
        <v>81</v>
      </c>
      <c r="B7" s="18" t="str">
        <f>IF('Matriz Analítica'!B5="","",'Matriz Analítica'!B5)</f>
        <v>Elbaum, S., Malishevsky, A. G. e Rothermel, G. (2002). Test Case Prioritization: A Family of Empirical Studies. IEEE Transactions on Software Engineering, 28(2):159–182. DOI: https://doi.org/10.1109/32.988497.</v>
      </c>
      <c r="C7" s="12" t="s">
        <v>75</v>
      </c>
      <c r="D7" s="12" t="s">
        <v>75</v>
      </c>
      <c r="E7" s="12"/>
      <c r="F7" s="12" t="s">
        <v>75</v>
      </c>
      <c r="G7" s="12"/>
      <c r="H7" s="12" t="s">
        <v>75</v>
      </c>
      <c r="I7" s="12"/>
      <c r="J7" s="12"/>
    </row>
    <row r="8" ht="108.0" customHeight="1">
      <c r="A8" s="13" t="s">
        <v>83</v>
      </c>
      <c r="B8" s="18" t="str">
        <f>IF('Matriz Analítica'!B6="","",'Matriz Analítica'!B6)</f>
        <v>Li, Z., Harman, M. e Hierons, R. M. (2007). Search Algorithms for Regression Test Case Prioritization. IEEE Transactions on Software Engineering, 33(4):225–237. DOI: https://doi.org/10.1109/TSE.2007.38.</v>
      </c>
      <c r="C8" s="12" t="s">
        <v>75</v>
      </c>
      <c r="D8" s="12" t="s">
        <v>75</v>
      </c>
      <c r="E8" s="12"/>
      <c r="F8" s="12"/>
      <c r="G8" s="12" t="s">
        <v>75</v>
      </c>
      <c r="H8" s="12" t="s">
        <v>75</v>
      </c>
      <c r="I8" s="12" t="s">
        <v>75</v>
      </c>
      <c r="J8" s="12"/>
    </row>
    <row r="9" ht="108.0" customHeight="1">
      <c r="A9" s="13" t="s">
        <v>86</v>
      </c>
      <c r="B9" s="18" t="str">
        <f>IF('Matriz Analítica'!B7="","",'Matriz Analítica'!B7)</f>
        <v>Walcott, K. R., Soffa, M. L., Kapfhammer, G. M. e Roos, R. S. (2006). TimeAware Test Suite Prioritization. Proceedings of the International Symposium on Software Testing and Analysis (ISSTA), p. 1–12. DOI: https://doi.org/10.1145/1146238.1146240.</v>
      </c>
      <c r="C9" s="12" t="s">
        <v>75</v>
      </c>
      <c r="D9" s="12" t="s">
        <v>75</v>
      </c>
      <c r="E9" s="12" t="s">
        <v>75</v>
      </c>
      <c r="F9" s="12"/>
      <c r="G9" s="12"/>
      <c r="H9" s="12" t="s">
        <v>75</v>
      </c>
      <c r="I9" s="12"/>
      <c r="J9" s="12"/>
    </row>
    <row r="10" ht="108.0" customHeight="1">
      <c r="A10" s="13" t="s">
        <v>98</v>
      </c>
      <c r="B10" s="18" t="str">
        <f>IF('Matriz Analítica'!B8="","",'Matriz Analítica'!B8)</f>
        <v>Di Nardo, D., Alshahwan, N., Briand, L. e Labiche, Y. (2015). Coverage-based Regression Test Case Selection, Minimization and Prioritization: A Case Study on an Industrial System. Software Testing, Verification and Reliability, 25(4):371–396. DOI: https://doi.org/10.1002/stvr.1572.</v>
      </c>
      <c r="C10" s="12" t="s">
        <v>75</v>
      </c>
      <c r="D10" s="12" t="s">
        <v>75</v>
      </c>
      <c r="E10" s="12"/>
      <c r="F10" s="12"/>
      <c r="G10" s="12"/>
      <c r="H10" s="12" t="s">
        <v>75</v>
      </c>
      <c r="I10" s="12"/>
      <c r="J10" s="12" t="s">
        <v>75</v>
      </c>
    </row>
    <row r="11" ht="108.0" customHeight="1">
      <c r="A11" s="13" t="s">
        <v>110</v>
      </c>
      <c r="B11" s="18" t="str">
        <f>IF('Matriz Analítica'!B9="","",'Matriz Analítica'!B9)</f>
        <v>Chvátal, V. (1979). A Greedy Heuristic for the Set-Covering Problem. Mathematics of Operations Research, 4(3):233–235. DOI: https://doi.org/10.1287/moor.4.3.233.</v>
      </c>
      <c r="C11" s="12"/>
      <c r="D11" s="12" t="s">
        <v>75</v>
      </c>
      <c r="E11" s="12" t="s">
        <v>75</v>
      </c>
      <c r="F11" s="12"/>
      <c r="G11" s="12" t="s">
        <v>75</v>
      </c>
      <c r="H11" s="12"/>
      <c r="I11" s="12" t="s">
        <v>75</v>
      </c>
      <c r="J11" s="12"/>
    </row>
    <row r="12" ht="108.0" customHeight="1">
      <c r="A12" s="13" t="s">
        <v>118</v>
      </c>
      <c r="B12" s="18" t="str">
        <f>IF('Matriz Analítica'!B10="","",'Matriz Analítica'!B10)</f>
        <v>Li, F., Zhou, J., Li, Y., Hao, D. e Zhang, L. (2022). AGA: An Accelerated Greedy Additional Algorithm for Test Case Prioritization. IEEE Transactions on Software Engineering, 48(12):5102–5119. DOI: https://doi.org/10.1109/TSE.2021.3137929.</v>
      </c>
      <c r="C12" s="12" t="s">
        <v>75</v>
      </c>
      <c r="D12" s="12" t="s">
        <v>75</v>
      </c>
      <c r="E12" s="12"/>
      <c r="F12" s="12" t="s">
        <v>75</v>
      </c>
      <c r="G12" s="12" t="s">
        <v>75</v>
      </c>
      <c r="H12" s="12" t="s">
        <v>75</v>
      </c>
      <c r="I12" s="12"/>
      <c r="J12" s="12" t="s">
        <v>75</v>
      </c>
    </row>
    <row r="13" ht="108.0" customHeight="1">
      <c r="A13" s="13" t="s">
        <v>128</v>
      </c>
      <c r="B13" s="18" t="str">
        <f>IF('Matriz Analítica'!B11="","",'Matriz Analítica'!B11)</f>
        <v>Zhang, Q., Fang, C., Sun, W., Yu, S., Xu, Y. e Liu, Y. (2022). Test Case Prioritization Using Partial Attention. Journal of Systems and Software, 192:111419. DOI: https://doi.org/10.1016/j.jss.2022.111419.</v>
      </c>
      <c r="C13" s="12" t="s">
        <v>75</v>
      </c>
      <c r="D13" s="12"/>
      <c r="E13" s="12"/>
      <c r="F13" s="12" t="s">
        <v>75</v>
      </c>
      <c r="G13" s="12"/>
      <c r="H13" s="12" t="s">
        <v>75</v>
      </c>
      <c r="I13" s="12"/>
      <c r="J13" s="12"/>
    </row>
    <row r="14" ht="108.0" customHeight="1">
      <c r="A14" s="13" t="s">
        <v>134</v>
      </c>
      <c r="B14" s="18" t="str">
        <f>IF('Matriz Analítica'!B12="","",'Matriz Analítica'!B12)</f>
        <v>Ahmed, F. S., Majeed, A., Khan, T. A. e Bhatti, S. N. (2022). Value-based cost-cognizant test case prioritization for regression testing. PLOS ONE, 17(5):e0264972. DOI: https://doi.org/10.1371/journal.pone.0264972.</v>
      </c>
      <c r="C14" s="12" t="s">
        <v>75</v>
      </c>
      <c r="D14" s="12"/>
      <c r="E14" s="12" t="s">
        <v>75</v>
      </c>
      <c r="F14" s="12" t="s">
        <v>75</v>
      </c>
      <c r="G14" s="12"/>
      <c r="H14" s="12" t="s">
        <v>75</v>
      </c>
      <c r="I14" s="12"/>
      <c r="J14" s="12"/>
    </row>
    <row r="15" ht="108.0" customHeight="1">
      <c r="A15" s="13" t="s">
        <v>143</v>
      </c>
      <c r="B15" s="18" t="str">
        <f>IF('Matriz Analítica'!B13="","",'Matriz Analítica'!B13)</f>
        <v>Inozemtseva, L. e Holmes, R. (2014). Coverage Is Not Strongly Correlated with Test Suite Effectiveness. Proceedings of the 36th International Conference on Software Engineering (ICSE), p. 435–445. DOI: https://doi.org/10.1145/2568225.2568271.</v>
      </c>
      <c r="C15" s="12"/>
      <c r="D15" s="12" t="s">
        <v>75</v>
      </c>
      <c r="E15" s="12"/>
      <c r="F15" s="12" t="s">
        <v>75</v>
      </c>
      <c r="G15" s="12"/>
      <c r="H15" s="12" t="s">
        <v>75</v>
      </c>
      <c r="I15" s="12" t="s">
        <v>75</v>
      </c>
      <c r="J15" s="12"/>
    </row>
    <row r="16" ht="108.0" customHeight="1">
      <c r="A16" s="13" t="s">
        <v>153</v>
      </c>
      <c r="B16" s="18" t="str">
        <f>IF('Matriz Analítica'!B14="","",'Matriz Analítica'!B14)</f>
        <v>Just, R., Jalali, D., Inozemtseva, L., Ernst, M. D., Holmes, R. e Fraser, G. (2014). Are Mutants a Valid Substitute for Real Faults in Software Testing?. Proceedings of the 22nd ACM SIGSOFT International Symposium on Foundations of Software Engineering (FSE), p. 654–665. DOI: https://doi.org/10.1145/2635868.2635929.</v>
      </c>
      <c r="C16" s="12"/>
      <c r="D16" s="12"/>
      <c r="E16" s="12"/>
      <c r="F16" s="12" t="s">
        <v>75</v>
      </c>
      <c r="G16" s="12"/>
      <c r="H16" s="12" t="s">
        <v>75</v>
      </c>
      <c r="I16" s="12" t="s">
        <v>75</v>
      </c>
      <c r="J16" s="12"/>
    </row>
    <row r="17">
      <c r="A17" s="13" t="s">
        <v>162</v>
      </c>
      <c r="B17" s="18" t="str">
        <f>IF('Matriz Analítica'!B15="","",'Matriz Analítica'!B15)</f>
        <v/>
      </c>
      <c r="C17" s="12"/>
      <c r="D17" s="12"/>
      <c r="E17" s="12"/>
      <c r="F17" s="12"/>
      <c r="G17" s="12"/>
      <c r="H17" s="12"/>
      <c r="I17" s="12"/>
      <c r="J17" s="12"/>
    </row>
    <row r="18">
      <c r="A18" s="13" t="s">
        <v>167</v>
      </c>
      <c r="B18" s="18" t="str">
        <f>IF('Matriz Analítica'!B16="","",'Matriz Analítica'!B16)</f>
        <v/>
      </c>
      <c r="C18" s="12"/>
      <c r="D18" s="12"/>
      <c r="E18" s="12"/>
      <c r="F18" s="12"/>
      <c r="G18" s="12"/>
      <c r="H18" s="12"/>
      <c r="I18" s="12"/>
      <c r="J18" s="12"/>
    </row>
    <row r="19">
      <c r="A19" s="13" t="s">
        <v>178</v>
      </c>
      <c r="B19" s="18" t="str">
        <f>IF('Matriz Analítica'!B17="","",'Matriz Analítica'!B17)</f>
        <v/>
      </c>
      <c r="C19" s="12"/>
      <c r="D19" s="12"/>
      <c r="E19" s="12"/>
      <c r="F19" s="12"/>
      <c r="G19" s="12"/>
      <c r="H19" s="12"/>
      <c r="I19" s="12"/>
      <c r="J19" s="12"/>
    </row>
    <row r="20">
      <c r="A20" s="13" t="s">
        <v>186</v>
      </c>
      <c r="B20" s="18" t="str">
        <f>IF('Matriz Analítica'!B18="","",'Matriz Analítica'!B18)</f>
        <v/>
      </c>
      <c r="C20" s="12"/>
      <c r="D20" s="12"/>
      <c r="E20" s="12"/>
      <c r="F20" s="12"/>
      <c r="G20" s="12"/>
      <c r="H20" s="12"/>
      <c r="I20" s="12"/>
      <c r="J20" s="12"/>
    </row>
    <row r="21" ht="15.75" customHeight="1">
      <c r="A21" s="13" t="s">
        <v>197</v>
      </c>
      <c r="B21" s="18" t="str">
        <f>IF('Matriz Analítica'!B19="","",'Matriz Analítica'!B19)</f>
        <v/>
      </c>
      <c r="C21" s="12"/>
      <c r="D21" s="12"/>
      <c r="E21" s="12"/>
      <c r="F21" s="12"/>
      <c r="G21" s="12"/>
      <c r="H21" s="12"/>
      <c r="I21" s="12"/>
      <c r="J21" s="12"/>
    </row>
    <row r="22" ht="15.75" customHeight="1">
      <c r="A22" s="13" t="s">
        <v>206</v>
      </c>
      <c r="B22" s="18" t="str">
        <f>IF('Matriz Analítica'!B20="","",'Matriz Analítica'!B20)</f>
        <v/>
      </c>
      <c r="C22" s="12"/>
      <c r="D22" s="12"/>
      <c r="E22" s="12"/>
      <c r="F22" s="12"/>
      <c r="G22" s="12"/>
      <c r="H22" s="12"/>
      <c r="I22" s="12"/>
      <c r="J22" s="12"/>
    </row>
    <row r="23" ht="15.75" customHeight="1">
      <c r="A23" s="13" t="s">
        <v>211</v>
      </c>
      <c r="B23" s="18" t="str">
        <f>IF('Matriz Analítica'!B21="","",'Matriz Analítica'!B21)</f>
        <v/>
      </c>
      <c r="C23" s="12"/>
      <c r="D23" s="12"/>
      <c r="E23" s="12"/>
      <c r="F23" s="12"/>
      <c r="G23" s="12"/>
      <c r="H23" s="12"/>
      <c r="I23" s="12"/>
      <c r="J23" s="12"/>
    </row>
    <row r="24" ht="15.75" customHeight="1">
      <c r="A24" s="13" t="s">
        <v>220</v>
      </c>
      <c r="B24" s="18" t="str">
        <f>IF('Matriz Analítica'!B22="","",'Matriz Analítica'!B22)</f>
        <v/>
      </c>
      <c r="C24" s="12"/>
      <c r="D24" s="12"/>
      <c r="E24" s="12"/>
      <c r="F24" s="12"/>
      <c r="G24" s="12"/>
      <c r="H24" s="12"/>
      <c r="I24" s="12"/>
      <c r="J24" s="12"/>
    </row>
    <row r="25" ht="15.75" customHeight="1">
      <c r="B25" s="27" t="s">
        <v>221</v>
      </c>
      <c r="C25" s="19">
        <f t="shared" ref="C25:J25" si="1">COUNTIF(C5:C24,"X")</f>
        <v>9</v>
      </c>
      <c r="D25" s="19">
        <f t="shared" si="1"/>
        <v>8</v>
      </c>
      <c r="E25" s="19">
        <f t="shared" si="1"/>
        <v>4</v>
      </c>
      <c r="F25" s="19">
        <f t="shared" si="1"/>
        <v>8</v>
      </c>
      <c r="G25" s="19">
        <f t="shared" si="1"/>
        <v>3</v>
      </c>
      <c r="H25" s="19">
        <f t="shared" si="1"/>
        <v>11</v>
      </c>
      <c r="I25" s="19">
        <f t="shared" si="1"/>
        <v>4</v>
      </c>
      <c r="J25" s="19">
        <f t="shared" si="1"/>
        <v>2</v>
      </c>
    </row>
    <row r="26" ht="15.75" customHeight="1"/>
    <row r="27" ht="15.75" customHeight="1">
      <c r="A27" s="25" t="s">
        <v>222</v>
      </c>
    </row>
    <row r="28" ht="30.0" customHeight="1">
      <c r="A28" s="5" t="s">
        <v>223</v>
      </c>
    </row>
    <row r="29" ht="15.75" customHeight="1">
      <c r="A29" s="28" t="s">
        <v>224</v>
      </c>
      <c r="B29" s="29"/>
      <c r="C29" s="29"/>
      <c r="D29" s="29"/>
      <c r="E29" s="29"/>
      <c r="F29" s="29"/>
      <c r="G29" s="29"/>
      <c r="H29" s="29"/>
      <c r="I29" s="29"/>
      <c r="J29" s="29"/>
    </row>
    <row r="30" ht="15.75" customHeight="1">
      <c r="A30" s="30"/>
    </row>
    <row r="31" ht="15.75" customHeight="1">
      <c r="A31" s="30"/>
    </row>
    <row r="32" ht="15.75" customHeight="1">
      <c r="A32" s="30"/>
    </row>
    <row r="33" ht="15.75" customHeight="1">
      <c r="A33" s="30"/>
    </row>
    <row r="34" ht="15.75" customHeight="1">
      <c r="A34" s="30"/>
    </row>
    <row r="35" ht="15.75" customHeight="1">
      <c r="A35" s="30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2:J2"/>
    <mergeCell ref="A28:J28"/>
    <mergeCell ref="A29:J35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62.0"/>
    <col customWidth="1" min="3" max="4" width="12.0"/>
    <col customWidth="1" min="5" max="5" width="30.0"/>
    <col customWidth="1" min="6" max="6" width="8.71"/>
  </cols>
  <sheetData>
    <row r="2">
      <c r="B2" s="1" t="s">
        <v>0</v>
      </c>
    </row>
    <row r="3">
      <c r="B3" s="2" t="s">
        <v>2</v>
      </c>
    </row>
    <row r="5">
      <c r="B5" s="4" t="s">
        <v>4</v>
      </c>
      <c r="C5" s="8">
        <v>2021.0</v>
      </c>
      <c r="E5" s="2" t="s">
        <v>9</v>
      </c>
    </row>
    <row r="7">
      <c r="B7" s="9" t="s">
        <v>10</v>
      </c>
      <c r="C7" s="9" t="s">
        <v>11</v>
      </c>
      <c r="D7" s="9" t="s">
        <v>12</v>
      </c>
      <c r="E7" s="9" t="s">
        <v>13</v>
      </c>
    </row>
    <row r="8" ht="21.75" customHeight="1">
      <c r="B8" s="10" t="s">
        <v>16</v>
      </c>
      <c r="C8" s="12">
        <v>10.0</v>
      </c>
      <c r="D8" s="19">
        <f>COUNTA('Matriz Analítica'!B3:B22)</f>
        <v>12</v>
      </c>
      <c r="E8" s="19" t="str">
        <f t="shared" ref="E8:E10" si="1">IF($D$8&gt;=$C$8,"OK","Faltam "&amp;($C$8-$D$8))</f>
        <v>OK</v>
      </c>
    </row>
    <row r="9" ht="21.75" customHeight="1">
      <c r="B9" s="10" t="s">
        <v>82</v>
      </c>
      <c r="C9" s="12">
        <v>5.0</v>
      </c>
      <c r="D9" s="19">
        <f>COUNTIF('Matriz Analítica'!C3:C22,"Artigo de periódico")+COUNTIF('Matriz Analítica'!C3:C22,"Artigo de conferência")</f>
        <v>12</v>
      </c>
      <c r="E9" s="19" t="str">
        <f t="shared" si="1"/>
        <v>OK</v>
      </c>
    </row>
    <row r="10" ht="21.75" customHeight="1">
      <c r="B10" s="10" t="s">
        <v>95</v>
      </c>
      <c r="C10" s="12">
        <v>2.0</v>
      </c>
      <c r="D10" s="19">
        <f>COUNTIF('Matriz Analítica'!E3:E22,"&gt;="&amp;$C$5)</f>
        <v>3</v>
      </c>
      <c r="E10" s="19" t="str">
        <f t="shared" si="1"/>
        <v>OK</v>
      </c>
    </row>
    <row r="11" ht="21.75" customHeight="1">
      <c r="B11" s="10" t="s">
        <v>103</v>
      </c>
      <c r="C11" s="12">
        <v>3.0</v>
      </c>
      <c r="D11" s="19">
        <f>COUNTIF('Matriz Analítica'!C3:C22,"Livro")+COUNTIF('Matriz Analítica'!C3:C22,"Capítulo de livro")</f>
        <v>0</v>
      </c>
      <c r="E11" s="19" t="str">
        <f>IF($D$11&lt;=$C$11,"OK","Excedeu em "&amp;($D$11-$C$11))</f>
        <v>OK</v>
      </c>
    </row>
    <row r="12" ht="21.75" customHeight="1">
      <c r="B12" s="10" t="s">
        <v>130</v>
      </c>
      <c r="C12" s="12">
        <v>10.0</v>
      </c>
      <c r="D12" s="19">
        <f>COUNTA('Matriz Analítica'!J3:J22)</f>
        <v>12</v>
      </c>
      <c r="E12" s="19" t="str">
        <f t="shared" ref="E12:E14" si="2">IF($D$12&gt;=$C$12,"OK","Faltam "&amp;($C$12-$D$12))</f>
        <v>OK</v>
      </c>
    </row>
    <row r="13" ht="21.75" customHeight="1">
      <c r="B13" s="10" t="s">
        <v>146</v>
      </c>
      <c r="C13" s="12">
        <v>10.0</v>
      </c>
      <c r="D13" s="19">
        <f>COUNTA('Matriz Analítica'!N3:N22)</f>
        <v>12</v>
      </c>
      <c r="E13" s="19" t="str">
        <f t="shared" si="2"/>
        <v>OK</v>
      </c>
    </row>
    <row r="14" ht="21.75" customHeight="1">
      <c r="B14" s="10" t="s">
        <v>156</v>
      </c>
      <c r="C14" s="12">
        <v>3.0</v>
      </c>
      <c r="D14" s="19">
        <f>COUNTIF('Matriz Analítica'!O3:O22,"Integral")</f>
        <v>2</v>
      </c>
      <c r="E14" s="19" t="str">
        <f t="shared" si="2"/>
        <v>OK</v>
      </c>
    </row>
    <row r="16">
      <c r="B16" s="25" t="s">
        <v>168</v>
      </c>
    </row>
    <row r="17">
      <c r="B17" s="4" t="s">
        <v>173</v>
      </c>
    </row>
    <row r="18">
      <c r="B18" s="4" t="s">
        <v>174</v>
      </c>
    </row>
    <row r="19">
      <c r="B19" s="4" t="s">
        <v>177</v>
      </c>
    </row>
    <row r="21" ht="15.75" customHeight="1">
      <c r="B21" s="26" t="s">
        <v>179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1:E23"/>
  </mergeCells>
  <printOptions/>
  <pageMargins bottom="0.75" footer="0.0" header="0.0" left="0.7" right="0.7" top="0.75"/>
  <pageSetup orientation="landscape"/>
  <drawing r:id="rId1"/>
</worksheet>
</file>